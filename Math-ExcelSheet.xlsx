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575" documentId="13_ncr:1_{A5F7DC63-323C-484B-837B-715B9D6D2C3D}" xr6:coauthVersionLast="47" xr6:coauthVersionMax="47" xr10:uidLastSave="{3BE7AB80-2DCE-40FC-969A-E14402A0DE24}"/>
  <bookViews>
    <workbookView xWindow="-28920" yWindow="-120" windowWidth="29040" windowHeight="15720" tabRatio="500" xr2:uid="{00000000-000D-0000-FFFF-FFFF00000000}"/>
  </bookViews>
  <sheets>
    <sheet name="Game Description" sheetId="1" r:id="rId1"/>
    <sheet name="Parsheet" sheetId="2" r:id="rId2"/>
    <sheet name="BaseGameReel" sheetId="3" r:id="rId3"/>
    <sheet name="FreeGameReel" sheetId="6" r:id="rId4"/>
    <sheet name="Buy free spins" sheetId="7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4" i="7" l="1"/>
  <c r="Q27" i="3"/>
  <c r="J11" i="3"/>
  <c r="AK40" i="7"/>
  <c r="X50" i="7"/>
  <c r="X46" i="7"/>
  <c r="Y46" i="7"/>
  <c r="Z46" i="7"/>
  <c r="AA46" i="7"/>
  <c r="AB46" i="7"/>
  <c r="X47" i="7"/>
  <c r="Y47" i="7"/>
  <c r="Z47" i="7"/>
  <c r="AA47" i="7"/>
  <c r="AB47" i="7"/>
  <c r="X48" i="7"/>
  <c r="Y48" i="7"/>
  <c r="Z48" i="7"/>
  <c r="AA48" i="7"/>
  <c r="AB48" i="7"/>
  <c r="X49" i="7"/>
  <c r="Y49" i="7"/>
  <c r="Z49" i="7"/>
  <c r="AA49" i="7"/>
  <c r="AB49" i="7"/>
  <c r="Y50" i="7"/>
  <c r="Z50" i="7"/>
  <c r="AA50" i="7"/>
  <c r="AB50" i="7"/>
  <c r="X51" i="7"/>
  <c r="Y51" i="7"/>
  <c r="Z51" i="7"/>
  <c r="AA51" i="7"/>
  <c r="AB51" i="7"/>
  <c r="X52" i="7"/>
  <c r="Y52" i="7"/>
  <c r="Z52" i="7"/>
  <c r="AA52" i="7"/>
  <c r="AB52" i="7"/>
  <c r="X53" i="7"/>
  <c r="Y53" i="7"/>
  <c r="Z53" i="7"/>
  <c r="AA53" i="7"/>
  <c r="AB53" i="7"/>
  <c r="X54" i="7"/>
  <c r="Y54" i="7"/>
  <c r="Z54" i="7"/>
  <c r="AA54" i="7"/>
  <c r="AB54" i="7"/>
  <c r="X55" i="7"/>
  <c r="Y55" i="7"/>
  <c r="Z55" i="7"/>
  <c r="AA55" i="7"/>
  <c r="AB55" i="7"/>
  <c r="X56" i="7"/>
  <c r="Y56" i="7"/>
  <c r="Z56" i="7"/>
  <c r="AA56" i="7"/>
  <c r="AB56" i="7"/>
  <c r="X57" i="7"/>
  <c r="Y57" i="7"/>
  <c r="Z57" i="7"/>
  <c r="AA57" i="7"/>
  <c r="AB57" i="7"/>
  <c r="X58" i="7"/>
  <c r="Y58" i="7"/>
  <c r="Z58" i="7"/>
  <c r="AA58" i="7"/>
  <c r="AB58" i="7"/>
  <c r="X59" i="7"/>
  <c r="Y59" i="7"/>
  <c r="Z59" i="7"/>
  <c r="AA59" i="7"/>
  <c r="AB59" i="7"/>
  <c r="X60" i="7"/>
  <c r="Y60" i="7"/>
  <c r="Z60" i="7"/>
  <c r="AA60" i="7"/>
  <c r="AB60" i="7"/>
  <c r="Y45" i="7"/>
  <c r="Z45" i="7"/>
  <c r="AA45" i="7"/>
  <c r="AB45" i="7"/>
  <c r="X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45" i="7"/>
  <c r="AD61" i="7"/>
  <c r="AC60" i="7"/>
  <c r="W45" i="7"/>
  <c r="AE45" i="7" s="1"/>
  <c r="W60" i="7"/>
  <c r="W59" i="7"/>
  <c r="W58" i="7"/>
  <c r="W57" i="7"/>
  <c r="W56" i="7"/>
  <c r="W55" i="7"/>
  <c r="W54" i="7"/>
  <c r="W53" i="7"/>
  <c r="W52" i="7"/>
  <c r="W51" i="7"/>
  <c r="W50" i="7"/>
  <c r="W49" i="7"/>
  <c r="W48" i="7"/>
  <c r="W47" i="7"/>
  <c r="W46" i="7"/>
  <c r="N25" i="7"/>
  <c r="O25" i="7"/>
  <c r="P25" i="7"/>
  <c r="Q25" i="7"/>
  <c r="R25" i="7"/>
  <c r="N26" i="7"/>
  <c r="O26" i="7"/>
  <c r="P26" i="7"/>
  <c r="Q26" i="7"/>
  <c r="R26" i="7"/>
  <c r="N27" i="7"/>
  <c r="O27" i="7"/>
  <c r="P27" i="7"/>
  <c r="Q27" i="7"/>
  <c r="R27" i="7"/>
  <c r="N28" i="7"/>
  <c r="O28" i="7"/>
  <c r="P28" i="7"/>
  <c r="Q28" i="7"/>
  <c r="R28" i="7"/>
  <c r="N29" i="7"/>
  <c r="O29" i="7"/>
  <c r="P29" i="7"/>
  <c r="Q29" i="7"/>
  <c r="R29" i="7"/>
  <c r="N30" i="7"/>
  <c r="O30" i="7"/>
  <c r="P30" i="7"/>
  <c r="Q30" i="7"/>
  <c r="R30" i="7"/>
  <c r="N31" i="7"/>
  <c r="O31" i="7"/>
  <c r="P31" i="7"/>
  <c r="Q31" i="7"/>
  <c r="R31" i="7"/>
  <c r="N32" i="7"/>
  <c r="O32" i="7"/>
  <c r="P32" i="7"/>
  <c r="Q32" i="7"/>
  <c r="R32" i="7"/>
  <c r="O24" i="7"/>
  <c r="P24" i="7"/>
  <c r="Q24" i="7"/>
  <c r="R24" i="7"/>
  <c r="N24" i="7"/>
  <c r="R33" i="7"/>
  <c r="Q33" i="7"/>
  <c r="P33" i="7"/>
  <c r="O33" i="7"/>
  <c r="N3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AJ26" i="7"/>
  <c r="W26" i="7"/>
  <c r="AJ25" i="7"/>
  <c r="W25" i="7"/>
  <c r="AJ24" i="7"/>
  <c r="W24" i="7"/>
  <c r="AJ23" i="7"/>
  <c r="W23" i="7"/>
  <c r="AJ22" i="7"/>
  <c r="W22" i="7"/>
  <c r="AJ21" i="7"/>
  <c r="W21" i="7"/>
  <c r="AJ20" i="7"/>
  <c r="W20" i="7"/>
  <c r="AJ19" i="7"/>
  <c r="W19" i="7"/>
  <c r="Q19" i="7"/>
  <c r="O19" i="7"/>
  <c r="N19" i="7"/>
  <c r="AN18" i="7"/>
  <c r="AL18" i="7"/>
  <c r="AK18" i="7"/>
  <c r="AJ18" i="7"/>
  <c r="W18" i="7"/>
  <c r="Q18" i="7"/>
  <c r="AA27" i="7" s="1"/>
  <c r="O18" i="7"/>
  <c r="N18" i="7"/>
  <c r="AL17" i="7"/>
  <c r="AK17" i="7"/>
  <c r="AJ17" i="7"/>
  <c r="W17" i="7"/>
  <c r="Q17" i="7"/>
  <c r="O17" i="7"/>
  <c r="N17" i="7"/>
  <c r="AL16" i="7"/>
  <c r="AK16" i="7"/>
  <c r="AJ16" i="7"/>
  <c r="W16" i="7"/>
  <c r="Q16" i="7"/>
  <c r="O16" i="7"/>
  <c r="N16" i="7"/>
  <c r="AN15" i="7"/>
  <c r="AL15" i="7"/>
  <c r="AK15" i="7"/>
  <c r="AJ15" i="7"/>
  <c r="W15" i="7"/>
  <c r="Q15" i="7"/>
  <c r="O15" i="7"/>
  <c r="N15" i="7"/>
  <c r="AL14" i="7"/>
  <c r="AK14" i="7"/>
  <c r="AJ14" i="7"/>
  <c r="W14" i="7"/>
  <c r="Q14" i="7"/>
  <c r="O14" i="7"/>
  <c r="N14" i="7"/>
  <c r="AL13" i="7"/>
  <c r="AK13" i="7"/>
  <c r="AJ13" i="7"/>
  <c r="W13" i="7"/>
  <c r="Q13" i="7"/>
  <c r="O13" i="7"/>
  <c r="N13" i="7"/>
  <c r="AN12" i="7"/>
  <c r="AL12" i="7"/>
  <c r="AK12" i="7"/>
  <c r="AJ12" i="7"/>
  <c r="AA12" i="7"/>
  <c r="Y12" i="7"/>
  <c r="X12" i="7"/>
  <c r="W12" i="7"/>
  <c r="Q12" i="7"/>
  <c r="O12" i="7"/>
  <c r="N12" i="7"/>
  <c r="AN11" i="7"/>
  <c r="AL11" i="7"/>
  <c r="AK11" i="7"/>
  <c r="AJ11" i="7"/>
  <c r="Y11" i="7"/>
  <c r="X11" i="7"/>
  <c r="W11" i="7"/>
  <c r="Q11" i="7"/>
  <c r="Q20" i="7" s="1"/>
  <c r="O11" i="7"/>
  <c r="O20" i="7" s="1"/>
  <c r="N11" i="7"/>
  <c r="N20" i="7" s="1"/>
  <c r="AN10" i="7"/>
  <c r="AL10" i="7"/>
  <c r="AK10" i="7"/>
  <c r="AJ10" i="7"/>
  <c r="AA10" i="7"/>
  <c r="Y10" i="7"/>
  <c r="X10" i="7"/>
  <c r="W10" i="7"/>
  <c r="AN9" i="7"/>
  <c r="AL9" i="7"/>
  <c r="AK9" i="7"/>
  <c r="AJ9" i="7"/>
  <c r="AA9" i="7"/>
  <c r="Y9" i="7"/>
  <c r="X9" i="7"/>
  <c r="W9" i="7"/>
  <c r="AN8" i="7"/>
  <c r="AL8" i="7"/>
  <c r="AK8" i="7"/>
  <c r="AJ8" i="7"/>
  <c r="AA8" i="7"/>
  <c r="Y8" i="7"/>
  <c r="X8" i="7"/>
  <c r="W8" i="7"/>
  <c r="AN7" i="7"/>
  <c r="AL7" i="7"/>
  <c r="AK7" i="7"/>
  <c r="AJ7" i="7"/>
  <c r="AA7" i="7"/>
  <c r="Y7" i="7"/>
  <c r="X7" i="7"/>
  <c r="W7" i="7"/>
  <c r="AN6" i="7"/>
  <c r="AL6" i="7"/>
  <c r="AK6" i="7"/>
  <c r="AJ6" i="7"/>
  <c r="AA6" i="7"/>
  <c r="Y6" i="7"/>
  <c r="X6" i="7"/>
  <c r="W6" i="7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AD26" i="6"/>
  <c r="Q26" i="6"/>
  <c r="AD25" i="6"/>
  <c r="Q25" i="6"/>
  <c r="AD24" i="6"/>
  <c r="Q24" i="6"/>
  <c r="AD23" i="6"/>
  <c r="Q23" i="6"/>
  <c r="AD22" i="6"/>
  <c r="Q22" i="6"/>
  <c r="AD21" i="6"/>
  <c r="Q21" i="6"/>
  <c r="AD20" i="6"/>
  <c r="Q20" i="6"/>
  <c r="AD19" i="6"/>
  <c r="Q19" i="6"/>
  <c r="AD18" i="6"/>
  <c r="Q18" i="6"/>
  <c r="AD17" i="6"/>
  <c r="Q17" i="6"/>
  <c r="AD16" i="6"/>
  <c r="Q16" i="6"/>
  <c r="AD15" i="6"/>
  <c r="Q15" i="6"/>
  <c r="AD14" i="6"/>
  <c r="Q14" i="6"/>
  <c r="AD13" i="6"/>
  <c r="Q13" i="6"/>
  <c r="AD12" i="6"/>
  <c r="Q12" i="6"/>
  <c r="AD11" i="6"/>
  <c r="Q11" i="6"/>
  <c r="AD10" i="6"/>
  <c r="Q10" i="6"/>
  <c r="AD9" i="6"/>
  <c r="Q9" i="6"/>
  <c r="AD8" i="6"/>
  <c r="Q8" i="6"/>
  <c r="AD7" i="6"/>
  <c r="Q7" i="6"/>
  <c r="AD6" i="6"/>
  <c r="Q6" i="6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AD26" i="3"/>
  <c r="Q26" i="3"/>
  <c r="AD25" i="3"/>
  <c r="Q25" i="3"/>
  <c r="AD24" i="3"/>
  <c r="Q24" i="3"/>
  <c r="AD23" i="3"/>
  <c r="Q23" i="3"/>
  <c r="AD22" i="3"/>
  <c r="Q22" i="3"/>
  <c r="AD21" i="3"/>
  <c r="Q21" i="3"/>
  <c r="AD20" i="3"/>
  <c r="Q20" i="3"/>
  <c r="AD19" i="3"/>
  <c r="Q19" i="3"/>
  <c r="AD18" i="3"/>
  <c r="Q18" i="3"/>
  <c r="AD17" i="3"/>
  <c r="Q17" i="3"/>
  <c r="AD16" i="3"/>
  <c r="Q16" i="3"/>
  <c r="AD15" i="3"/>
  <c r="Q15" i="3"/>
  <c r="AD14" i="3"/>
  <c r="Q14" i="3"/>
  <c r="AD13" i="3"/>
  <c r="Q13" i="3"/>
  <c r="AD12" i="3"/>
  <c r="Q12" i="3"/>
  <c r="AD11" i="3"/>
  <c r="Q11" i="3"/>
  <c r="AD10" i="3"/>
  <c r="Q10" i="3"/>
  <c r="AD9" i="3"/>
  <c r="Q9" i="3"/>
  <c r="AD8" i="3"/>
  <c r="Q8" i="3"/>
  <c r="AD7" i="3"/>
  <c r="Q7" i="3"/>
  <c r="AD6" i="3"/>
  <c r="Q6" i="3"/>
  <c r="L19" i="6"/>
  <c r="AI27" i="6" s="1"/>
  <c r="K19" i="6"/>
  <c r="AH27" i="6" s="1"/>
  <c r="J19" i="6"/>
  <c r="AG27" i="6" s="1"/>
  <c r="I19" i="6"/>
  <c r="AF27" i="6" s="1"/>
  <c r="H19" i="6"/>
  <c r="AE27" i="6" s="1"/>
  <c r="L18" i="6"/>
  <c r="K18" i="6"/>
  <c r="J18" i="6"/>
  <c r="I18" i="6"/>
  <c r="H18" i="6"/>
  <c r="L17" i="6"/>
  <c r="K17" i="6"/>
  <c r="J17" i="6"/>
  <c r="I17" i="6"/>
  <c r="H17" i="6"/>
  <c r="L16" i="6"/>
  <c r="K16" i="6"/>
  <c r="J16" i="6"/>
  <c r="I16" i="6"/>
  <c r="H16" i="6"/>
  <c r="L15" i="6"/>
  <c r="K15" i="6"/>
  <c r="J15" i="6"/>
  <c r="I15" i="6"/>
  <c r="H15" i="6"/>
  <c r="L14" i="6"/>
  <c r="K14" i="6"/>
  <c r="J14" i="6"/>
  <c r="I14" i="6"/>
  <c r="H14" i="6"/>
  <c r="L13" i="6"/>
  <c r="K13" i="6"/>
  <c r="J13" i="6"/>
  <c r="I13" i="6"/>
  <c r="H13" i="6"/>
  <c r="L12" i="6"/>
  <c r="K12" i="6"/>
  <c r="J12" i="6"/>
  <c r="I12" i="6"/>
  <c r="H12" i="6"/>
  <c r="L11" i="6"/>
  <c r="K11" i="6"/>
  <c r="J11" i="6"/>
  <c r="I11" i="6"/>
  <c r="H11" i="6"/>
  <c r="AE46" i="7" l="1"/>
  <c r="AE47" i="7"/>
  <c r="AE48" i="7"/>
  <c r="AE49" i="7"/>
  <c r="AE52" i="7"/>
  <c r="AE54" i="7"/>
  <c r="AE55" i="7"/>
  <c r="AE57" i="7"/>
  <c r="AE58" i="7"/>
  <c r="AE60" i="7"/>
  <c r="AC46" i="7"/>
  <c r="AC47" i="7"/>
  <c r="AC48" i="7"/>
  <c r="AC49" i="7"/>
  <c r="AC52" i="7"/>
  <c r="AC54" i="7"/>
  <c r="AC55" i="7"/>
  <c r="AC57" i="7"/>
  <c r="AC58" i="7"/>
  <c r="X41" i="7"/>
  <c r="X38" i="7"/>
  <c r="X35" i="7"/>
  <c r="X33" i="7"/>
  <c r="X32" i="7"/>
  <c r="Y41" i="7"/>
  <c r="Y40" i="7"/>
  <c r="Y36" i="7"/>
  <c r="Y34" i="7"/>
  <c r="Y31" i="7"/>
  <c r="AA42" i="7"/>
  <c r="AA39" i="7"/>
  <c r="AA38" i="7"/>
  <c r="AA36" i="7"/>
  <c r="AA29" i="7"/>
  <c r="AA26" i="7"/>
  <c r="AA23" i="7"/>
  <c r="AA20" i="7"/>
  <c r="AA17" i="7"/>
  <c r="AA14" i="7"/>
  <c r="AA11" i="7"/>
  <c r="X14" i="7"/>
  <c r="X13" i="7"/>
  <c r="Y14" i="7"/>
  <c r="Y13" i="7"/>
  <c r="AN14" i="7"/>
  <c r="AN13" i="7"/>
  <c r="AA13" i="7"/>
  <c r="X17" i="7"/>
  <c r="X16" i="7"/>
  <c r="X15" i="7"/>
  <c r="Y17" i="7"/>
  <c r="Y16" i="7"/>
  <c r="Y15" i="7"/>
  <c r="AN17" i="7"/>
  <c r="AN16" i="7"/>
  <c r="AA16" i="7"/>
  <c r="AA15" i="7"/>
  <c r="X20" i="7"/>
  <c r="X19" i="7"/>
  <c r="X18" i="7"/>
  <c r="Y20" i="7"/>
  <c r="Y19" i="7"/>
  <c r="Y18" i="7"/>
  <c r="AN20" i="7"/>
  <c r="AN19" i="7"/>
  <c r="AA19" i="7"/>
  <c r="AA18" i="7"/>
  <c r="X23" i="7"/>
  <c r="X22" i="7"/>
  <c r="X21" i="7"/>
  <c r="Y23" i="7"/>
  <c r="Y22" i="7"/>
  <c r="Y21" i="7"/>
  <c r="AN23" i="7"/>
  <c r="AN22" i="7"/>
  <c r="AA22" i="7"/>
  <c r="AA21" i="7"/>
  <c r="X26" i="7"/>
  <c r="X25" i="7"/>
  <c r="X24" i="7"/>
  <c r="Y26" i="7"/>
  <c r="Y25" i="7"/>
  <c r="Y24" i="7"/>
  <c r="AN26" i="7"/>
  <c r="AN25" i="7"/>
  <c r="AA25" i="7"/>
  <c r="AA24" i="7"/>
  <c r="X42" i="7"/>
  <c r="X40" i="7"/>
  <c r="X39" i="7"/>
  <c r="X37" i="7"/>
  <c r="X36" i="7"/>
  <c r="X34" i="7"/>
  <c r="X31" i="7"/>
  <c r="X30" i="7"/>
  <c r="X29" i="7"/>
  <c r="X28" i="7"/>
  <c r="X27" i="7"/>
  <c r="Y42" i="7"/>
  <c r="Y39" i="7"/>
  <c r="Y38" i="7"/>
  <c r="Y37" i="7"/>
  <c r="Y35" i="7"/>
  <c r="Y33" i="7"/>
  <c r="Y32" i="7"/>
  <c r="Y30" i="7"/>
  <c r="Y29" i="7"/>
  <c r="Y28" i="7"/>
  <c r="Y27" i="7"/>
  <c r="AA41" i="7"/>
  <c r="AA40" i="7"/>
  <c r="AA37" i="7"/>
  <c r="AA35" i="7"/>
  <c r="AA34" i="7"/>
  <c r="AA33" i="7"/>
  <c r="AA32" i="7"/>
  <c r="AA31" i="7"/>
  <c r="AA30" i="7"/>
  <c r="AA28" i="7"/>
  <c r="AK27" i="7"/>
  <c r="AK26" i="7"/>
  <c r="AK25" i="7"/>
  <c r="AK24" i="7"/>
  <c r="AK23" i="7"/>
  <c r="AK22" i="7"/>
  <c r="AK21" i="7"/>
  <c r="AK20" i="7"/>
  <c r="AK19" i="7"/>
  <c r="AL27" i="7"/>
  <c r="AL26" i="7"/>
  <c r="AL25" i="7"/>
  <c r="AL24" i="7"/>
  <c r="AL23" i="7"/>
  <c r="AL22" i="7"/>
  <c r="AL21" i="7"/>
  <c r="AL20" i="7"/>
  <c r="AL19" i="7"/>
  <c r="AN27" i="7"/>
  <c r="AN24" i="7"/>
  <c r="AN21" i="7"/>
  <c r="AK27" i="6"/>
  <c r="AH8" i="6"/>
  <c r="AH7" i="6"/>
  <c r="U7" i="6"/>
  <c r="U6" i="6"/>
  <c r="AH11" i="6"/>
  <c r="AH10" i="6"/>
  <c r="U10" i="6"/>
  <c r="U9" i="6"/>
  <c r="AH14" i="6"/>
  <c r="AH13" i="6"/>
  <c r="U13" i="6"/>
  <c r="U12" i="6"/>
  <c r="AH17" i="6"/>
  <c r="AH16" i="6"/>
  <c r="U16" i="6"/>
  <c r="U15" i="6"/>
  <c r="AH20" i="6"/>
  <c r="AH19" i="6"/>
  <c r="U19" i="6"/>
  <c r="U18" i="6"/>
  <c r="AH23" i="6"/>
  <c r="AH22" i="6"/>
  <c r="U22" i="6"/>
  <c r="U21" i="6"/>
  <c r="AH26" i="6"/>
  <c r="AH25" i="6"/>
  <c r="U25" i="6"/>
  <c r="U24" i="6"/>
  <c r="U41" i="6"/>
  <c r="U40" i="6"/>
  <c r="U37" i="6"/>
  <c r="U35" i="6"/>
  <c r="U34" i="6"/>
  <c r="U33" i="6"/>
  <c r="U32" i="6"/>
  <c r="U31" i="6"/>
  <c r="U30" i="6"/>
  <c r="U28" i="6"/>
  <c r="U27" i="6"/>
  <c r="AH24" i="6"/>
  <c r="AH21" i="6"/>
  <c r="AH18" i="6"/>
  <c r="AH15" i="6"/>
  <c r="AH12" i="6"/>
  <c r="AH9" i="6"/>
  <c r="AH6" i="6"/>
  <c r="S8" i="6"/>
  <c r="S7" i="6"/>
  <c r="S6" i="6"/>
  <c r="S11" i="6"/>
  <c r="S10" i="6"/>
  <c r="S9" i="6"/>
  <c r="S14" i="6"/>
  <c r="S13" i="6"/>
  <c r="S12" i="6"/>
  <c r="S17" i="6"/>
  <c r="S16" i="6"/>
  <c r="S15" i="6"/>
  <c r="S20" i="6"/>
  <c r="S19" i="6"/>
  <c r="S18" i="6"/>
  <c r="S23" i="6"/>
  <c r="S22" i="6"/>
  <c r="S21" i="6"/>
  <c r="S26" i="6"/>
  <c r="S25" i="6"/>
  <c r="S24" i="6"/>
  <c r="S42" i="6"/>
  <c r="S39" i="6"/>
  <c r="S38" i="6"/>
  <c r="S37" i="6"/>
  <c r="S35" i="6"/>
  <c r="S33" i="6"/>
  <c r="S32" i="6"/>
  <c r="S30" i="6"/>
  <c r="S29" i="6"/>
  <c r="S28" i="6"/>
  <c r="S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R8" i="6"/>
  <c r="R7" i="6"/>
  <c r="R6" i="6"/>
  <c r="R11" i="6"/>
  <c r="R10" i="6"/>
  <c r="R9" i="6"/>
  <c r="R14" i="6"/>
  <c r="R13" i="6"/>
  <c r="R12" i="6"/>
  <c r="R17" i="6"/>
  <c r="R16" i="6"/>
  <c r="R15" i="6"/>
  <c r="R20" i="6"/>
  <c r="R19" i="6"/>
  <c r="R18" i="6"/>
  <c r="R23" i="6"/>
  <c r="R22" i="6"/>
  <c r="R21" i="6"/>
  <c r="R26" i="6"/>
  <c r="R25" i="6"/>
  <c r="R24" i="6"/>
  <c r="R42" i="6"/>
  <c r="R40" i="6"/>
  <c r="R39" i="6"/>
  <c r="R37" i="6"/>
  <c r="R36" i="6"/>
  <c r="R34" i="6"/>
  <c r="R31" i="6"/>
  <c r="R30" i="6"/>
  <c r="R29" i="6"/>
  <c r="R28" i="6"/>
  <c r="R27" i="6"/>
  <c r="AE26" i="6"/>
  <c r="AE25" i="6"/>
  <c r="AE24" i="6"/>
  <c r="AE23" i="6"/>
  <c r="AE22" i="6"/>
  <c r="AE21" i="6"/>
  <c r="AE20" i="6"/>
  <c r="AE19" i="6"/>
  <c r="AE18" i="6"/>
  <c r="AE17" i="6"/>
  <c r="AE16" i="6"/>
  <c r="AE15" i="6"/>
  <c r="AE14" i="6"/>
  <c r="AE13" i="6"/>
  <c r="AE12" i="6"/>
  <c r="AE11" i="6"/>
  <c r="AE10" i="6"/>
  <c r="AE9" i="6"/>
  <c r="AE8" i="6"/>
  <c r="AE7" i="6"/>
  <c r="AE6" i="6"/>
  <c r="AI8" i="6"/>
  <c r="AI6" i="6"/>
  <c r="V6" i="6"/>
  <c r="AI11" i="6"/>
  <c r="AI9" i="6"/>
  <c r="V9" i="6"/>
  <c r="AI14" i="6"/>
  <c r="AI12" i="6"/>
  <c r="V12" i="6"/>
  <c r="AI17" i="6"/>
  <c r="AI15" i="6"/>
  <c r="V15" i="6"/>
  <c r="AI20" i="6"/>
  <c r="AI18" i="6"/>
  <c r="V18" i="6"/>
  <c r="AI23" i="6"/>
  <c r="AI21" i="6"/>
  <c r="V21" i="6"/>
  <c r="AI26" i="6"/>
  <c r="AI24" i="6"/>
  <c r="V24" i="6"/>
  <c r="V41" i="6"/>
  <c r="V40" i="6"/>
  <c r="V39" i="6"/>
  <c r="V38" i="6"/>
  <c r="V36" i="6"/>
  <c r="V35" i="6"/>
  <c r="V32" i="6"/>
  <c r="V31" i="6"/>
  <c r="V30" i="6"/>
  <c r="V29" i="6"/>
  <c r="V27" i="6"/>
  <c r="T8" i="6"/>
  <c r="T7" i="6"/>
  <c r="T6" i="6"/>
  <c r="T11" i="6"/>
  <c r="T10" i="6"/>
  <c r="T9" i="6"/>
  <c r="T14" i="6"/>
  <c r="T13" i="6"/>
  <c r="T12" i="6"/>
  <c r="T17" i="6"/>
  <c r="T16" i="6"/>
  <c r="T15" i="6"/>
  <c r="T20" i="6"/>
  <c r="T19" i="6"/>
  <c r="T18" i="6"/>
  <c r="T23" i="6"/>
  <c r="T22" i="6"/>
  <c r="T21" i="6"/>
  <c r="T26" i="6"/>
  <c r="T25" i="6"/>
  <c r="T24" i="6"/>
  <c r="T42" i="6"/>
  <c r="T41" i="6"/>
  <c r="T38" i="6"/>
  <c r="T36" i="6"/>
  <c r="T34" i="6"/>
  <c r="T33" i="6"/>
  <c r="T32" i="6"/>
  <c r="T31" i="6"/>
  <c r="T29" i="6"/>
  <c r="T28" i="6"/>
  <c r="T27" i="6"/>
  <c r="AK28" i="6"/>
  <c r="AG26" i="6"/>
  <c r="AG25" i="6"/>
  <c r="AG24" i="6"/>
  <c r="AG23" i="6"/>
  <c r="AG22" i="6"/>
  <c r="AG21" i="6"/>
  <c r="AG20" i="6"/>
  <c r="AG19" i="6"/>
  <c r="AG18" i="6"/>
  <c r="AG17" i="6"/>
  <c r="AG16" i="6"/>
  <c r="AG15" i="6"/>
  <c r="AG14" i="6"/>
  <c r="AG13" i="6"/>
  <c r="AG12" i="6"/>
  <c r="AG11" i="6"/>
  <c r="AG10" i="6"/>
  <c r="AG9" i="6"/>
  <c r="AG8" i="6"/>
  <c r="AG7" i="6"/>
  <c r="AG6" i="6"/>
  <c r="AK6" i="6"/>
  <c r="AK8" i="6"/>
  <c r="AK9" i="6"/>
  <c r="AK11" i="6"/>
  <c r="AK12" i="6"/>
  <c r="AK14" i="6"/>
  <c r="AK15" i="6"/>
  <c r="AK17" i="6"/>
  <c r="AK18" i="6"/>
  <c r="AK20" i="6"/>
  <c r="AK21" i="6"/>
  <c r="AK23" i="6"/>
  <c r="AK24" i="6"/>
  <c r="X27" i="6"/>
  <c r="W27" i="6" s="1"/>
  <c r="K20" i="6"/>
  <c r="H20" i="6"/>
  <c r="I20" i="6"/>
  <c r="L20" i="6"/>
  <c r="J20" i="6"/>
  <c r="H12" i="3"/>
  <c r="I12" i="3"/>
  <c r="J12" i="3"/>
  <c r="K12" i="3"/>
  <c r="L12" i="3"/>
  <c r="H13" i="3"/>
  <c r="I13" i="3"/>
  <c r="J13" i="3"/>
  <c r="K13" i="3"/>
  <c r="L13" i="3"/>
  <c r="H14" i="3"/>
  <c r="I14" i="3"/>
  <c r="J14" i="3"/>
  <c r="K14" i="3"/>
  <c r="L14" i="3"/>
  <c r="H15" i="3"/>
  <c r="I15" i="3"/>
  <c r="J15" i="3"/>
  <c r="K15" i="3"/>
  <c r="L15" i="3"/>
  <c r="H16" i="3"/>
  <c r="I16" i="3"/>
  <c r="J16" i="3"/>
  <c r="K16" i="3"/>
  <c r="L16" i="3"/>
  <c r="H17" i="3"/>
  <c r="I17" i="3"/>
  <c r="J17" i="3"/>
  <c r="K17" i="3"/>
  <c r="L17" i="3"/>
  <c r="H18" i="3"/>
  <c r="I18" i="3"/>
  <c r="J18" i="3"/>
  <c r="K18" i="3"/>
  <c r="L18" i="3"/>
  <c r="H19" i="3"/>
  <c r="I19" i="3"/>
  <c r="AF27" i="3" s="1"/>
  <c r="J19" i="3"/>
  <c r="AG27" i="3" s="1"/>
  <c r="K19" i="3"/>
  <c r="AH27" i="3" s="1"/>
  <c r="L19" i="3"/>
  <c r="AI27" i="3" s="1"/>
  <c r="I11" i="3"/>
  <c r="K11" i="3"/>
  <c r="L11" i="3"/>
  <c r="H11" i="3"/>
  <c r="AC45" i="7" l="1"/>
  <c r="AE59" i="7"/>
  <c r="AE56" i="7"/>
  <c r="AE53" i="7"/>
  <c r="AE51" i="7"/>
  <c r="AE50" i="7"/>
  <c r="P19" i="7"/>
  <c r="P18" i="7"/>
  <c r="P17" i="7"/>
  <c r="P16" i="7"/>
  <c r="P15" i="7"/>
  <c r="P14" i="7"/>
  <c r="P13" i="7"/>
  <c r="P12" i="7"/>
  <c r="P11" i="7"/>
  <c r="X43" i="6"/>
  <c r="S46" i="6" s="1"/>
  <c r="AK28" i="3"/>
  <c r="AE27" i="3"/>
  <c r="AK27" i="3" s="1"/>
  <c r="AK26" i="6"/>
  <c r="X9" i="6"/>
  <c r="W9" i="6" s="1"/>
  <c r="X6" i="6"/>
  <c r="U42" i="6"/>
  <c r="U39" i="6"/>
  <c r="U38" i="6"/>
  <c r="U36" i="6"/>
  <c r="U29" i="6"/>
  <c r="X29" i="6" s="1"/>
  <c r="W29" i="6" s="1"/>
  <c r="U26" i="6"/>
  <c r="U23" i="6"/>
  <c r="U20" i="6"/>
  <c r="U17" i="6"/>
  <c r="U14" i="6"/>
  <c r="U11" i="6"/>
  <c r="U8" i="6"/>
  <c r="S41" i="6"/>
  <c r="S40" i="6"/>
  <c r="S36" i="6"/>
  <c r="X36" i="6" s="1"/>
  <c r="W36" i="6" s="1"/>
  <c r="S34" i="6"/>
  <c r="S31" i="6"/>
  <c r="X31" i="6" s="1"/>
  <c r="W31" i="6" s="1"/>
  <c r="R41" i="6"/>
  <c r="X41" i="6" s="1"/>
  <c r="W41" i="6" s="1"/>
  <c r="R38" i="6"/>
  <c r="X38" i="6" s="1"/>
  <c r="W38" i="6" s="1"/>
  <c r="R35" i="6"/>
  <c r="R33" i="6"/>
  <c r="R32" i="6"/>
  <c r="X32" i="6" s="1"/>
  <c r="W32" i="6" s="1"/>
  <c r="V42" i="6"/>
  <c r="X42" i="6" s="1"/>
  <c r="W42" i="6" s="1"/>
  <c r="V37" i="6"/>
  <c r="V34" i="6"/>
  <c r="X34" i="6" s="1"/>
  <c r="W34" i="6" s="1"/>
  <c r="V33" i="6"/>
  <c r="X33" i="6" s="1"/>
  <c r="W33" i="6" s="1"/>
  <c r="V28" i="6"/>
  <c r="X28" i="6" s="1"/>
  <c r="W28" i="6" s="1"/>
  <c r="V26" i="6"/>
  <c r="X26" i="6" s="1"/>
  <c r="W26" i="6" s="1"/>
  <c r="AI25" i="6"/>
  <c r="AK25" i="6" s="1"/>
  <c r="V25" i="6"/>
  <c r="V23" i="6"/>
  <c r="X23" i="6" s="1"/>
  <c r="W23" i="6" s="1"/>
  <c r="AI22" i="6"/>
  <c r="AK22" i="6" s="1"/>
  <c r="V22" i="6"/>
  <c r="V20" i="6"/>
  <c r="X20" i="6" s="1"/>
  <c r="W20" i="6" s="1"/>
  <c r="AI19" i="6"/>
  <c r="AK19" i="6" s="1"/>
  <c r="V19" i="6"/>
  <c r="V17" i="6"/>
  <c r="X17" i="6" s="1"/>
  <c r="W17" i="6" s="1"/>
  <c r="AI16" i="6"/>
  <c r="AK16" i="6" s="1"/>
  <c r="V16" i="6"/>
  <c r="V14" i="6"/>
  <c r="X14" i="6" s="1"/>
  <c r="W14" i="6" s="1"/>
  <c r="AI13" i="6"/>
  <c r="AK13" i="6" s="1"/>
  <c r="V13" i="6"/>
  <c r="V11" i="6"/>
  <c r="X11" i="6" s="1"/>
  <c r="W11" i="6" s="1"/>
  <c r="AI10" i="6"/>
  <c r="AK10" i="6" s="1"/>
  <c r="V10" i="6"/>
  <c r="V8" i="6"/>
  <c r="AI7" i="6"/>
  <c r="AK7" i="6" s="1"/>
  <c r="V7" i="6"/>
  <c r="X7" i="6" s="1"/>
  <c r="W7" i="6" s="1"/>
  <c r="AK29" i="6"/>
  <c r="AL27" i="6"/>
  <c r="AJ27" i="6" s="1"/>
  <c r="T40" i="6"/>
  <c r="X40" i="6" s="1"/>
  <c r="T39" i="6"/>
  <c r="X39" i="6" s="1"/>
  <c r="T37" i="6"/>
  <c r="X37" i="6" s="1"/>
  <c r="T35" i="6"/>
  <c r="X35" i="6" s="1"/>
  <c r="T30" i="6"/>
  <c r="X30" i="6" s="1"/>
  <c r="X24" i="6"/>
  <c r="X21" i="6"/>
  <c r="X18" i="6"/>
  <c r="X15" i="6"/>
  <c r="X12" i="6"/>
  <c r="Y9" i="6"/>
  <c r="AK30" i="6"/>
  <c r="AL28" i="6"/>
  <c r="AJ28" i="6" s="1"/>
  <c r="AL29" i="6"/>
  <c r="AJ29" i="6" s="1"/>
  <c r="R8" i="3"/>
  <c r="R7" i="3"/>
  <c r="R6" i="3"/>
  <c r="AI8" i="3"/>
  <c r="AI6" i="3"/>
  <c r="V6" i="3"/>
  <c r="AH8" i="3"/>
  <c r="AH7" i="3"/>
  <c r="U7" i="3"/>
  <c r="U6" i="3"/>
  <c r="T8" i="3"/>
  <c r="T7" i="3"/>
  <c r="T6" i="3"/>
  <c r="S8" i="3"/>
  <c r="S7" i="3"/>
  <c r="S6" i="3"/>
  <c r="AH24" i="3"/>
  <c r="AH21" i="3"/>
  <c r="AH18" i="3"/>
  <c r="AH15" i="3"/>
  <c r="AH12" i="3"/>
  <c r="AH9" i="3"/>
  <c r="AH6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F26" i="3"/>
  <c r="AF25" i="3"/>
  <c r="AF24" i="3"/>
  <c r="AF23" i="3"/>
  <c r="AF22" i="3"/>
  <c r="AF21" i="3"/>
  <c r="AF20" i="3"/>
  <c r="AF19" i="3"/>
  <c r="AF18" i="3"/>
  <c r="AF17" i="3"/>
  <c r="AF16" i="3"/>
  <c r="AF15" i="3"/>
  <c r="AF14" i="3"/>
  <c r="AF13" i="3"/>
  <c r="AF12" i="3"/>
  <c r="AF11" i="3"/>
  <c r="AF10" i="3"/>
  <c r="AF9" i="3"/>
  <c r="AF8" i="3"/>
  <c r="AF7" i="3"/>
  <c r="AF6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K8" i="3" s="1"/>
  <c r="AE7" i="3"/>
  <c r="AE6" i="3"/>
  <c r="AK6" i="3" s="1"/>
  <c r="V41" i="3"/>
  <c r="V40" i="3"/>
  <c r="V39" i="3"/>
  <c r="V38" i="3"/>
  <c r="V36" i="3"/>
  <c r="V35" i="3"/>
  <c r="V32" i="3"/>
  <c r="V31" i="3"/>
  <c r="V30" i="3"/>
  <c r="V29" i="3"/>
  <c r="V27" i="3"/>
  <c r="U41" i="3"/>
  <c r="U40" i="3"/>
  <c r="U37" i="3"/>
  <c r="U35" i="3"/>
  <c r="U34" i="3"/>
  <c r="U33" i="3"/>
  <c r="U32" i="3"/>
  <c r="U31" i="3"/>
  <c r="U30" i="3"/>
  <c r="U28" i="3"/>
  <c r="U27" i="3"/>
  <c r="T42" i="3"/>
  <c r="T41" i="3"/>
  <c r="T38" i="3"/>
  <c r="T36" i="3"/>
  <c r="T34" i="3"/>
  <c r="T33" i="3"/>
  <c r="T32" i="3"/>
  <c r="T31" i="3"/>
  <c r="T29" i="3"/>
  <c r="T28" i="3"/>
  <c r="T27" i="3"/>
  <c r="S42" i="3"/>
  <c r="S39" i="3"/>
  <c r="S38" i="3"/>
  <c r="S37" i="3"/>
  <c r="S35" i="3"/>
  <c r="S33" i="3"/>
  <c r="S32" i="3"/>
  <c r="S30" i="3"/>
  <c r="S29" i="3"/>
  <c r="S28" i="3"/>
  <c r="S27" i="3"/>
  <c r="R42" i="3"/>
  <c r="R40" i="3"/>
  <c r="R39" i="3"/>
  <c r="R37" i="3"/>
  <c r="R36" i="3"/>
  <c r="R34" i="3"/>
  <c r="R31" i="3"/>
  <c r="R30" i="3"/>
  <c r="R29" i="3"/>
  <c r="R28" i="3"/>
  <c r="R27" i="3"/>
  <c r="X27" i="3" s="1"/>
  <c r="AI26" i="3"/>
  <c r="AI24" i="3"/>
  <c r="V24" i="3"/>
  <c r="AH26" i="3"/>
  <c r="AH25" i="3"/>
  <c r="U25" i="3"/>
  <c r="U24" i="3"/>
  <c r="T26" i="3"/>
  <c r="T25" i="3"/>
  <c r="T24" i="3"/>
  <c r="S26" i="3"/>
  <c r="S25" i="3"/>
  <c r="S24" i="3"/>
  <c r="R26" i="3"/>
  <c r="R25" i="3"/>
  <c r="R24" i="3"/>
  <c r="AI23" i="3"/>
  <c r="AI21" i="3"/>
  <c r="V21" i="3"/>
  <c r="AH23" i="3"/>
  <c r="AH22" i="3"/>
  <c r="U22" i="3"/>
  <c r="U21" i="3"/>
  <c r="T23" i="3"/>
  <c r="T22" i="3"/>
  <c r="T21" i="3"/>
  <c r="S23" i="3"/>
  <c r="S22" i="3"/>
  <c r="S21" i="3"/>
  <c r="R23" i="3"/>
  <c r="R22" i="3"/>
  <c r="R21" i="3"/>
  <c r="AI20" i="3"/>
  <c r="AI18" i="3"/>
  <c r="V18" i="3"/>
  <c r="AH20" i="3"/>
  <c r="AH19" i="3"/>
  <c r="U19" i="3"/>
  <c r="U18" i="3"/>
  <c r="T20" i="3"/>
  <c r="T19" i="3"/>
  <c r="T18" i="3"/>
  <c r="S20" i="3"/>
  <c r="S19" i="3"/>
  <c r="S18" i="3"/>
  <c r="R20" i="3"/>
  <c r="R19" i="3"/>
  <c r="R18" i="3"/>
  <c r="AI17" i="3"/>
  <c r="AI15" i="3"/>
  <c r="V15" i="3"/>
  <c r="AH17" i="3"/>
  <c r="AH16" i="3"/>
  <c r="U16" i="3"/>
  <c r="U15" i="3"/>
  <c r="T17" i="3"/>
  <c r="T16" i="3"/>
  <c r="T15" i="3"/>
  <c r="S17" i="3"/>
  <c r="S16" i="3"/>
  <c r="S15" i="3"/>
  <c r="R17" i="3"/>
  <c r="R16" i="3"/>
  <c r="R15" i="3"/>
  <c r="AI14" i="3"/>
  <c r="AI12" i="3"/>
  <c r="V12" i="3"/>
  <c r="AH14" i="3"/>
  <c r="AH13" i="3"/>
  <c r="U13" i="3"/>
  <c r="U12" i="3"/>
  <c r="T14" i="3"/>
  <c r="T13" i="3"/>
  <c r="T12" i="3"/>
  <c r="S14" i="3"/>
  <c r="S13" i="3"/>
  <c r="S12" i="3"/>
  <c r="R14" i="3"/>
  <c r="R13" i="3"/>
  <c r="R12" i="3"/>
  <c r="AI11" i="3"/>
  <c r="AI9" i="3"/>
  <c r="V9" i="3"/>
  <c r="AH11" i="3"/>
  <c r="AH10" i="3"/>
  <c r="U10" i="3"/>
  <c r="U9" i="3"/>
  <c r="T11" i="3"/>
  <c r="T10" i="3"/>
  <c r="T9" i="3"/>
  <c r="S11" i="3"/>
  <c r="S10" i="3"/>
  <c r="S9" i="3"/>
  <c r="R11" i="3"/>
  <c r="R10" i="3"/>
  <c r="R9" i="3"/>
  <c r="W27" i="3" l="1"/>
  <c r="AE61" i="7"/>
  <c r="AC50" i="7"/>
  <c r="AC51" i="7"/>
  <c r="AC53" i="7"/>
  <c r="AC56" i="7"/>
  <c r="AC59" i="7"/>
  <c r="P20" i="7"/>
  <c r="Z8" i="7"/>
  <c r="Z7" i="7"/>
  <c r="Z6" i="7"/>
  <c r="Z11" i="7"/>
  <c r="Z10" i="7"/>
  <c r="Z9" i="7"/>
  <c r="Z12" i="7"/>
  <c r="Z14" i="7"/>
  <c r="Z13" i="7"/>
  <c r="Z17" i="7"/>
  <c r="Z16" i="7"/>
  <c r="Z15" i="7"/>
  <c r="Z20" i="7"/>
  <c r="Z19" i="7"/>
  <c r="Z18" i="7"/>
  <c r="Z23" i="7"/>
  <c r="Z22" i="7"/>
  <c r="Z21" i="7"/>
  <c r="Z26" i="7"/>
  <c r="Z25" i="7"/>
  <c r="Z24" i="7"/>
  <c r="Z42" i="7"/>
  <c r="Z41" i="7"/>
  <c r="Z38" i="7"/>
  <c r="Z36" i="7"/>
  <c r="Z34" i="7"/>
  <c r="Z33" i="7"/>
  <c r="Z32" i="7"/>
  <c r="Z31" i="7"/>
  <c r="Z29" i="7"/>
  <c r="Z28" i="7"/>
  <c r="Z27" i="7"/>
  <c r="AM18" i="7"/>
  <c r="AM17" i="7"/>
  <c r="AM16" i="7"/>
  <c r="AM15" i="7"/>
  <c r="AM14" i="7"/>
  <c r="AM13" i="7"/>
  <c r="AM12" i="7"/>
  <c r="AM11" i="7"/>
  <c r="AM10" i="7"/>
  <c r="AM9" i="7"/>
  <c r="AM8" i="7"/>
  <c r="AM7" i="7"/>
  <c r="AM6" i="7"/>
  <c r="AM27" i="7"/>
  <c r="AM26" i="7"/>
  <c r="AM25" i="7"/>
  <c r="AM24" i="7"/>
  <c r="AM23" i="7"/>
  <c r="AM22" i="7"/>
  <c r="AM21" i="7"/>
  <c r="AM20" i="7"/>
  <c r="AM19" i="7"/>
  <c r="Y12" i="6"/>
  <c r="W12" i="6"/>
  <c r="Y15" i="6"/>
  <c r="W15" i="6"/>
  <c r="Y18" i="6"/>
  <c r="W18" i="6"/>
  <c r="Y21" i="6"/>
  <c r="W21" i="6"/>
  <c r="Y24" i="6"/>
  <c r="W24" i="6"/>
  <c r="Y30" i="6"/>
  <c r="W30" i="6"/>
  <c r="Y35" i="6"/>
  <c r="W35" i="6"/>
  <c r="Y37" i="6"/>
  <c r="W37" i="6"/>
  <c r="Y39" i="6"/>
  <c r="W39" i="6"/>
  <c r="Y40" i="6"/>
  <c r="W40" i="6"/>
  <c r="W6" i="6"/>
  <c r="Y6" i="6"/>
  <c r="X6" i="3"/>
  <c r="W6" i="3" s="1"/>
  <c r="X8" i="6"/>
  <c r="W8" i="6" s="1"/>
  <c r="X10" i="6"/>
  <c r="W10" i="6" s="1"/>
  <c r="X13" i="6"/>
  <c r="W13" i="6" s="1"/>
  <c r="X16" i="6"/>
  <c r="W16" i="6" s="1"/>
  <c r="X19" i="6"/>
  <c r="W19" i="6" s="1"/>
  <c r="X22" i="6"/>
  <c r="W22" i="6" s="1"/>
  <c r="X25" i="6"/>
  <c r="W25" i="6" s="1"/>
  <c r="AL6" i="6"/>
  <c r="AJ6" i="6" s="1"/>
  <c r="Y7" i="6"/>
  <c r="AL7" i="6"/>
  <c r="AJ7" i="6" s="1"/>
  <c r="Y8" i="6"/>
  <c r="AL8" i="6"/>
  <c r="AJ8" i="6" s="1"/>
  <c r="AL9" i="6"/>
  <c r="AJ9" i="6" s="1"/>
  <c r="Y10" i="6"/>
  <c r="AL10" i="6"/>
  <c r="AJ10" i="6" s="1"/>
  <c r="Y11" i="6"/>
  <c r="AL11" i="6"/>
  <c r="AJ11" i="6" s="1"/>
  <c r="AL12" i="6"/>
  <c r="AJ12" i="6" s="1"/>
  <c r="Y13" i="6"/>
  <c r="AL13" i="6"/>
  <c r="AJ13" i="6" s="1"/>
  <c r="Y14" i="6"/>
  <c r="AL14" i="6"/>
  <c r="AJ14" i="6" s="1"/>
  <c r="AL15" i="6"/>
  <c r="AJ15" i="6" s="1"/>
  <c r="Y16" i="6"/>
  <c r="AL16" i="6"/>
  <c r="AJ16" i="6" s="1"/>
  <c r="Y17" i="6"/>
  <c r="AL17" i="6"/>
  <c r="AJ17" i="6" s="1"/>
  <c r="AL18" i="6"/>
  <c r="AJ18" i="6" s="1"/>
  <c r="Y19" i="6"/>
  <c r="AL19" i="6"/>
  <c r="AJ19" i="6" s="1"/>
  <c r="Y20" i="6"/>
  <c r="AL20" i="6"/>
  <c r="AJ20" i="6" s="1"/>
  <c r="AL21" i="6"/>
  <c r="AJ21" i="6" s="1"/>
  <c r="Y22" i="6"/>
  <c r="AL22" i="6"/>
  <c r="AJ22" i="6" s="1"/>
  <c r="Y23" i="6"/>
  <c r="AL23" i="6"/>
  <c r="AJ23" i="6" s="1"/>
  <c r="AL24" i="6"/>
  <c r="AJ24" i="6" s="1"/>
  <c r="Y25" i="6"/>
  <c r="AL25" i="6"/>
  <c r="AJ25" i="6" s="1"/>
  <c r="Y26" i="6"/>
  <c r="AL26" i="6"/>
  <c r="AJ26" i="6" s="1"/>
  <c r="Y27" i="6"/>
  <c r="Y28" i="6"/>
  <c r="Y29" i="6"/>
  <c r="Y31" i="6"/>
  <c r="Y32" i="6"/>
  <c r="Y33" i="6"/>
  <c r="Y34" i="6"/>
  <c r="Y36" i="6"/>
  <c r="Y38" i="6"/>
  <c r="Y41" i="6"/>
  <c r="Y42" i="6"/>
  <c r="AK9" i="3"/>
  <c r="AK11" i="3"/>
  <c r="AK12" i="3"/>
  <c r="AK14" i="3"/>
  <c r="AK15" i="3"/>
  <c r="AK17" i="3"/>
  <c r="AK18" i="3"/>
  <c r="AK20" i="3"/>
  <c r="AK21" i="3"/>
  <c r="AK23" i="3"/>
  <c r="AK24" i="3"/>
  <c r="AK26" i="3"/>
  <c r="H20" i="3"/>
  <c r="L20" i="3"/>
  <c r="AK29" i="3" s="1"/>
  <c r="K20" i="3"/>
  <c r="J20" i="3"/>
  <c r="I20" i="3"/>
  <c r="AC61" i="7" l="1"/>
  <c r="AK39" i="7" s="1"/>
  <c r="AK41" i="7" s="1"/>
  <c r="Z40" i="7"/>
  <c r="Z39" i="7"/>
  <c r="Z37" i="7"/>
  <c r="Z35" i="7"/>
  <c r="Z30" i="7"/>
  <c r="W43" i="6"/>
  <c r="AJ30" i="6"/>
  <c r="S45" i="6" s="1"/>
  <c r="Y43" i="6"/>
  <c r="AL30" i="6"/>
  <c r="Z21" i="6"/>
  <c r="Z43" i="6"/>
  <c r="Z27" i="6"/>
  <c r="Z24" i="6"/>
  <c r="Z18" i="6"/>
  <c r="Z15" i="6"/>
  <c r="Z12" i="6"/>
  <c r="Z9" i="6"/>
  <c r="S41" i="3"/>
  <c r="S40" i="3"/>
  <c r="S36" i="3"/>
  <c r="S34" i="3"/>
  <c r="S31" i="3"/>
  <c r="X31" i="3" s="1"/>
  <c r="W31" i="3" s="1"/>
  <c r="T40" i="3"/>
  <c r="T39" i="3"/>
  <c r="T37" i="3"/>
  <c r="T35" i="3"/>
  <c r="T30" i="3"/>
  <c r="X30" i="3" s="1"/>
  <c r="W30" i="3" s="1"/>
  <c r="U42" i="3"/>
  <c r="U39" i="3"/>
  <c r="U38" i="3"/>
  <c r="U36" i="3"/>
  <c r="U29" i="3"/>
  <c r="X29" i="3" s="1"/>
  <c r="W29" i="3" s="1"/>
  <c r="U26" i="3"/>
  <c r="U23" i="3"/>
  <c r="U20" i="3"/>
  <c r="U17" i="3"/>
  <c r="U14" i="3"/>
  <c r="U11" i="3"/>
  <c r="U8" i="3"/>
  <c r="V42" i="3"/>
  <c r="V37" i="3"/>
  <c r="V34" i="3"/>
  <c r="V33" i="3"/>
  <c r="V28" i="3"/>
  <c r="X28" i="3" s="1"/>
  <c r="V26" i="3"/>
  <c r="AI25" i="3"/>
  <c r="AK25" i="3" s="1"/>
  <c r="V25" i="3"/>
  <c r="X25" i="3" s="1"/>
  <c r="W25" i="3" s="1"/>
  <c r="V23" i="3"/>
  <c r="AI22" i="3"/>
  <c r="AK22" i="3" s="1"/>
  <c r="V22" i="3"/>
  <c r="X22" i="3" s="1"/>
  <c r="W22" i="3" s="1"/>
  <c r="V20" i="3"/>
  <c r="AI19" i="3"/>
  <c r="AK19" i="3" s="1"/>
  <c r="V19" i="3"/>
  <c r="X19" i="3" s="1"/>
  <c r="W19" i="3" s="1"/>
  <c r="V17" i="3"/>
  <c r="AI16" i="3"/>
  <c r="AK16" i="3" s="1"/>
  <c r="V16" i="3"/>
  <c r="X16" i="3" s="1"/>
  <c r="W16" i="3" s="1"/>
  <c r="V14" i="3"/>
  <c r="AI13" i="3"/>
  <c r="AK13" i="3" s="1"/>
  <c r="V13" i="3"/>
  <c r="X13" i="3" s="1"/>
  <c r="W13" i="3" s="1"/>
  <c r="V11" i="3"/>
  <c r="AI10" i="3"/>
  <c r="AK10" i="3" s="1"/>
  <c r="V10" i="3"/>
  <c r="X10" i="3" s="1"/>
  <c r="W10" i="3" s="1"/>
  <c r="V8" i="3"/>
  <c r="AI7" i="3"/>
  <c r="AK7" i="3" s="1"/>
  <c r="V7" i="3"/>
  <c r="X7" i="3" s="1"/>
  <c r="W7" i="3" s="1"/>
  <c r="X43" i="3"/>
  <c r="R46" i="3" s="1"/>
  <c r="R41" i="3"/>
  <c r="X41" i="3" s="1"/>
  <c r="R38" i="3"/>
  <c r="X38" i="3" s="1"/>
  <c r="R35" i="3"/>
  <c r="X35" i="3" s="1"/>
  <c r="R33" i="3"/>
  <c r="X33" i="3" s="1"/>
  <c r="R32" i="3"/>
  <c r="X32" i="3" s="1"/>
  <c r="Y6" i="3"/>
  <c r="AL26" i="3"/>
  <c r="AJ26" i="3" s="1"/>
  <c r="AL24" i="3"/>
  <c r="AJ24" i="3" s="1"/>
  <c r="X24" i="3"/>
  <c r="AL23" i="3"/>
  <c r="AJ23" i="3" s="1"/>
  <c r="AL21" i="3"/>
  <c r="AJ21" i="3" s="1"/>
  <c r="X21" i="3"/>
  <c r="AL20" i="3"/>
  <c r="AJ20" i="3" s="1"/>
  <c r="AL18" i="3"/>
  <c r="AJ18" i="3" s="1"/>
  <c r="X18" i="3"/>
  <c r="AL17" i="3"/>
  <c r="AJ17" i="3" s="1"/>
  <c r="AL15" i="3"/>
  <c r="AJ15" i="3" s="1"/>
  <c r="X15" i="3"/>
  <c r="AL14" i="3"/>
  <c r="AJ14" i="3" s="1"/>
  <c r="AL12" i="3"/>
  <c r="AJ12" i="3" s="1"/>
  <c r="X12" i="3"/>
  <c r="AL11" i="3"/>
  <c r="AJ11" i="3" s="1"/>
  <c r="AL9" i="3"/>
  <c r="AJ9" i="3" s="1"/>
  <c r="X9" i="3"/>
  <c r="X45" i="6"/>
  <c r="X46" i="6" s="1"/>
  <c r="C9" i="2"/>
  <c r="Y9" i="3" l="1"/>
  <c r="W9" i="3"/>
  <c r="Y12" i="3"/>
  <c r="W12" i="3"/>
  <c r="Y15" i="3"/>
  <c r="W15" i="3"/>
  <c r="Y18" i="3"/>
  <c r="W18" i="3"/>
  <c r="Y21" i="3"/>
  <c r="W21" i="3"/>
  <c r="Y24" i="3"/>
  <c r="W24" i="3"/>
  <c r="Y32" i="3"/>
  <c r="W32" i="3"/>
  <c r="Y33" i="3"/>
  <c r="W33" i="3"/>
  <c r="Y35" i="3"/>
  <c r="W35" i="3"/>
  <c r="Y38" i="3"/>
  <c r="W38" i="3"/>
  <c r="Y41" i="3"/>
  <c r="W41" i="3"/>
  <c r="W28" i="3"/>
  <c r="S51" i="6"/>
  <c r="X8" i="3"/>
  <c r="W8" i="3" s="1"/>
  <c r="AL28" i="3"/>
  <c r="AJ28" i="3" s="1"/>
  <c r="AL27" i="3"/>
  <c r="AJ27" i="3" s="1"/>
  <c r="X47" i="6"/>
  <c r="Z28" i="6"/>
  <c r="AL29" i="3"/>
  <c r="AJ29" i="3" s="1"/>
  <c r="Y27" i="3"/>
  <c r="AL6" i="3"/>
  <c r="AJ6" i="3" s="1"/>
  <c r="AL8" i="3"/>
  <c r="AJ8" i="3" s="1"/>
  <c r="Y7" i="3"/>
  <c r="AL7" i="3"/>
  <c r="AJ7" i="3" s="1"/>
  <c r="AK30" i="3"/>
  <c r="Y10" i="3"/>
  <c r="AL10" i="3"/>
  <c r="AJ10" i="3" s="1"/>
  <c r="Y13" i="3"/>
  <c r="AL13" i="3"/>
  <c r="AJ13" i="3" s="1"/>
  <c r="Y16" i="3"/>
  <c r="AL16" i="3"/>
  <c r="AJ16" i="3" s="1"/>
  <c r="Y19" i="3"/>
  <c r="AL19" i="3"/>
  <c r="AJ19" i="3" s="1"/>
  <c r="Y22" i="3"/>
  <c r="AL22" i="3"/>
  <c r="AJ22" i="3" s="1"/>
  <c r="Y25" i="3"/>
  <c r="AL25" i="3"/>
  <c r="AJ25" i="3" s="1"/>
  <c r="Y28" i="3"/>
  <c r="Y8" i="3"/>
  <c r="X11" i="3"/>
  <c r="X14" i="3"/>
  <c r="X17" i="3"/>
  <c r="X20" i="3"/>
  <c r="X23" i="3"/>
  <c r="X26" i="3"/>
  <c r="Y29" i="3"/>
  <c r="X42" i="3"/>
  <c r="Y30" i="3"/>
  <c r="X37" i="3"/>
  <c r="X39" i="3"/>
  <c r="Y31" i="3"/>
  <c r="X34" i="3"/>
  <c r="X36" i="3"/>
  <c r="X40" i="3"/>
  <c r="Y40" i="3" l="1"/>
  <c r="W40" i="3"/>
  <c r="Y36" i="3"/>
  <c r="W36" i="3"/>
  <c r="Y34" i="3"/>
  <c r="W34" i="3"/>
  <c r="S47" i="6"/>
  <c r="Y39" i="3"/>
  <c r="W39" i="3"/>
  <c r="Y37" i="3"/>
  <c r="W37" i="3"/>
  <c r="Y42" i="3"/>
  <c r="W42" i="3"/>
  <c r="Y26" i="3"/>
  <c r="W26" i="3"/>
  <c r="Y23" i="3"/>
  <c r="W23" i="3"/>
  <c r="Y20" i="3"/>
  <c r="W20" i="3"/>
  <c r="Y17" i="3"/>
  <c r="W17" i="3"/>
  <c r="Y14" i="3"/>
  <c r="W14" i="3"/>
  <c r="Y11" i="3"/>
  <c r="W11" i="3"/>
  <c r="W43" i="3"/>
  <c r="AJ30" i="3"/>
  <c r="R45" i="3" s="1"/>
  <c r="R47" i="3" s="1"/>
  <c r="AL30" i="3"/>
  <c r="Y43" i="3" s="1"/>
  <c r="Z27" i="3"/>
  <c r="Z24" i="3"/>
  <c r="Z21" i="3"/>
  <c r="Z18" i="3"/>
  <c r="Z15" i="3"/>
  <c r="Z12" i="3"/>
  <c r="Z9" i="3"/>
  <c r="Z43" i="3"/>
  <c r="X45" i="3"/>
  <c r="W48" i="6" s="1"/>
  <c r="S49" i="6" l="1"/>
  <c r="Z28" i="3"/>
  <c r="W49" i="3"/>
  <c r="R19" i="7"/>
  <c r="AO27" i="7" s="1"/>
  <c r="AQ27" i="7" s="1"/>
  <c r="R17" i="7"/>
  <c r="AB24" i="7"/>
  <c r="R16" i="7"/>
  <c r="AB21" i="7"/>
  <c r="R15" i="7"/>
  <c r="AB18" i="7"/>
  <c r="R14" i="7"/>
  <c r="AB15" i="7"/>
  <c r="R18" i="7"/>
  <c r="AQ28" i="7" s="1"/>
  <c r="R13" i="7"/>
  <c r="AO12" i="7"/>
  <c r="AQ12" i="7"/>
  <c r="R12" i="7"/>
  <c r="AO11" i="7"/>
  <c r="AQ11" i="7"/>
  <c r="R11" i="7"/>
  <c r="R20" i="7"/>
  <c r="AQ29" i="7"/>
  <c r="AO16" i="7" l="1"/>
  <c r="AQ16" i="7" s="1"/>
  <c r="AO25" i="7"/>
  <c r="AQ25" i="7" s="1"/>
  <c r="AO22" i="7"/>
  <c r="AQ22" i="7" s="1"/>
  <c r="AO19" i="7"/>
  <c r="AQ19" i="7" s="1"/>
  <c r="AB28" i="7"/>
  <c r="AD28" i="7" s="1"/>
  <c r="AB34" i="7"/>
  <c r="AD34" i="7" s="1"/>
  <c r="AB37" i="7"/>
  <c r="AD37" i="7" s="1"/>
  <c r="AB42" i="7"/>
  <c r="AD42" i="7" s="1"/>
  <c r="AB25" i="7"/>
  <c r="AD25" i="7" s="1"/>
  <c r="AB26" i="7"/>
  <c r="AD26" i="7" s="1"/>
  <c r="AB22" i="7"/>
  <c r="AD22" i="7" s="1"/>
  <c r="AB23" i="7"/>
  <c r="AD23" i="7" s="1"/>
  <c r="AB19" i="7"/>
  <c r="AD19" i="7" s="1"/>
  <c r="AB20" i="7"/>
  <c r="AD20" i="7" s="1"/>
  <c r="AB16" i="7"/>
  <c r="AD16" i="7" s="1"/>
  <c r="AB17" i="7"/>
  <c r="AD17" i="7" s="1"/>
  <c r="AB13" i="7"/>
  <c r="AB14" i="7"/>
  <c r="AD14" i="7" s="1"/>
  <c r="AB33" i="7"/>
  <c r="AD33" i="7" s="1"/>
  <c r="AO10" i="7"/>
  <c r="AQ10" i="7" s="1"/>
  <c r="AO7" i="7"/>
  <c r="AQ7" i="7" s="1"/>
  <c r="AB11" i="7"/>
  <c r="AD11" i="7" s="1"/>
  <c r="AO13" i="7"/>
  <c r="AQ13" i="7" s="1"/>
  <c r="AB10" i="7"/>
  <c r="AD10" i="7" s="1"/>
  <c r="AB8" i="7"/>
  <c r="AD8" i="7" s="1"/>
  <c r="AB7" i="7"/>
  <c r="AD7" i="7" s="1"/>
  <c r="AD43" i="7"/>
  <c r="AB6" i="7"/>
  <c r="AO8" i="7"/>
  <c r="AQ8" i="7" s="1"/>
  <c r="AR8" i="7" s="1"/>
  <c r="AP8" i="7" s="1"/>
  <c r="AO6" i="7"/>
  <c r="AQ6" i="7" s="1"/>
  <c r="AB9" i="7"/>
  <c r="AO9" i="7"/>
  <c r="AQ9" i="7" s="1"/>
  <c r="AR9" i="7" s="1"/>
  <c r="AP9" i="7" s="1"/>
  <c r="AB12" i="7"/>
  <c r="AO14" i="7"/>
  <c r="AQ14" i="7" s="1"/>
  <c r="AR14" i="7" s="1"/>
  <c r="AP14" i="7" s="1"/>
  <c r="AB27" i="7"/>
  <c r="AD27" i="7" s="1"/>
  <c r="AC27" i="7" s="1"/>
  <c r="AB29" i="7"/>
  <c r="AD29" i="7" s="1"/>
  <c r="AB30" i="7"/>
  <c r="AD30" i="7" s="1"/>
  <c r="AB31" i="7"/>
  <c r="AD31" i="7" s="1"/>
  <c r="AB36" i="7"/>
  <c r="AD36" i="7" s="1"/>
  <c r="AB39" i="7"/>
  <c r="AD39" i="7" s="1"/>
  <c r="AB40" i="7"/>
  <c r="AD40" i="7" s="1"/>
  <c r="AB32" i="7"/>
  <c r="AD32" i="7" s="1"/>
  <c r="AB35" i="7"/>
  <c r="AD35" i="7" s="1"/>
  <c r="AB38" i="7"/>
  <c r="AD38" i="7" s="1"/>
  <c r="AB41" i="7"/>
  <c r="AD41" i="7" s="1"/>
  <c r="AO17" i="7"/>
  <c r="AQ17" i="7" s="1"/>
  <c r="AR17" i="7" s="1"/>
  <c r="AP17" i="7" s="1"/>
  <c r="AO15" i="7"/>
  <c r="AQ15" i="7" s="1"/>
  <c r="AO18" i="7"/>
  <c r="AQ18" i="7" s="1"/>
  <c r="AO20" i="7"/>
  <c r="AQ20" i="7" s="1"/>
  <c r="AR20" i="7" s="1"/>
  <c r="AP20" i="7" s="1"/>
  <c r="AO23" i="7"/>
  <c r="AQ23" i="7" s="1"/>
  <c r="AR23" i="7" s="1"/>
  <c r="AP23" i="7" s="1"/>
  <c r="AO21" i="7"/>
  <c r="AQ21" i="7" s="1"/>
  <c r="AO26" i="7"/>
  <c r="AQ26" i="7" s="1"/>
  <c r="AR26" i="7" s="1"/>
  <c r="AP26" i="7" s="1"/>
  <c r="AO24" i="7"/>
  <c r="AQ24" i="7" s="1"/>
  <c r="AR27" i="7"/>
  <c r="AP27" i="7" s="1"/>
  <c r="AK38" i="7" l="1"/>
  <c r="AP37" i="7"/>
  <c r="AR24" i="7"/>
  <c r="AP24" i="7" s="1"/>
  <c r="AD24" i="7"/>
  <c r="AR21" i="7"/>
  <c r="AP21" i="7" s="1"/>
  <c r="AD21" i="7"/>
  <c r="AR18" i="7"/>
  <c r="AP18" i="7" s="1"/>
  <c r="AD18" i="7"/>
  <c r="AR15" i="7"/>
  <c r="AP15" i="7" s="1"/>
  <c r="AD15" i="7"/>
  <c r="AC41" i="7"/>
  <c r="AE41" i="7"/>
  <c r="AC38" i="7"/>
  <c r="AE38" i="7"/>
  <c r="AC35" i="7"/>
  <c r="AE35" i="7"/>
  <c r="AC32" i="7"/>
  <c r="AE32" i="7"/>
  <c r="AC40" i="7"/>
  <c r="AE40" i="7"/>
  <c r="AC39" i="7"/>
  <c r="AE39" i="7"/>
  <c r="AC36" i="7"/>
  <c r="AE36" i="7"/>
  <c r="AC31" i="7"/>
  <c r="AE31" i="7"/>
  <c r="AC30" i="7"/>
  <c r="AE30" i="7"/>
  <c r="AC29" i="7"/>
  <c r="AE29" i="7"/>
  <c r="AE27" i="7"/>
  <c r="AD12" i="7"/>
  <c r="AD9" i="7"/>
  <c r="AR6" i="7"/>
  <c r="AQ30" i="7"/>
  <c r="AD6" i="7"/>
  <c r="AR28" i="7"/>
  <c r="AP28" i="7" s="1"/>
  <c r="AR12" i="7"/>
  <c r="AP12" i="7" s="1"/>
  <c r="AR11" i="7"/>
  <c r="AP11" i="7" s="1"/>
  <c r="AP38" i="7"/>
  <c r="AR29" i="7"/>
  <c r="AP29" i="7" s="1"/>
  <c r="AE7" i="7"/>
  <c r="AC7" i="7"/>
  <c r="AE8" i="7"/>
  <c r="AC8" i="7"/>
  <c r="AE10" i="7"/>
  <c r="AC10" i="7"/>
  <c r="AR13" i="7"/>
  <c r="AP13" i="7" s="1"/>
  <c r="AC11" i="7"/>
  <c r="AE11" i="7"/>
  <c r="AR7" i="7"/>
  <c r="AP7" i="7" s="1"/>
  <c r="AR10" i="7"/>
  <c r="AP10" i="7" s="1"/>
  <c r="AC33" i="7"/>
  <c r="AE33" i="7"/>
  <c r="AC14" i="7"/>
  <c r="AE14" i="7"/>
  <c r="AD13" i="7"/>
  <c r="AC17" i="7"/>
  <c r="AE17" i="7"/>
  <c r="AC16" i="7"/>
  <c r="AE16" i="7"/>
  <c r="AC20" i="7"/>
  <c r="AE20" i="7"/>
  <c r="AC19" i="7"/>
  <c r="AE19" i="7"/>
  <c r="AC23" i="7"/>
  <c r="AE23" i="7"/>
  <c r="AC22" i="7"/>
  <c r="AE22" i="7"/>
  <c r="AC26" i="7"/>
  <c r="AE26" i="7"/>
  <c r="AC25" i="7"/>
  <c r="AE25" i="7"/>
  <c r="AC42" i="7"/>
  <c r="AE42" i="7"/>
  <c r="AC37" i="7"/>
  <c r="AE37" i="7"/>
  <c r="AC34" i="7"/>
  <c r="AE34" i="7"/>
  <c r="AC28" i="7"/>
  <c r="AE28" i="7"/>
  <c r="AR19" i="7"/>
  <c r="AP19" i="7" s="1"/>
  <c r="AR22" i="7"/>
  <c r="AP22" i="7" s="1"/>
  <c r="AR25" i="7"/>
  <c r="AP25" i="7" s="1"/>
  <c r="AR16" i="7"/>
  <c r="AP16" i="7" s="1"/>
  <c r="AC13" i="7" l="1"/>
  <c r="AE13" i="7"/>
  <c r="AC6" i="7"/>
  <c r="AE6" i="7"/>
  <c r="AP6" i="7"/>
  <c r="AP30" i="7" s="1"/>
  <c r="AR30" i="7"/>
  <c r="AC9" i="7"/>
  <c r="AE9" i="7"/>
  <c r="AF12" i="7" s="1"/>
  <c r="AC12" i="7"/>
  <c r="AE12" i="7"/>
  <c r="AF15" i="7" s="1"/>
  <c r="AF43" i="7"/>
  <c r="AC15" i="7"/>
  <c r="AE15" i="7"/>
  <c r="AF18" i="7" s="1"/>
  <c r="AC18" i="7"/>
  <c r="AE18" i="7"/>
  <c r="AF21" i="7" s="1"/>
  <c r="AC21" i="7"/>
  <c r="AE21" i="7"/>
  <c r="AF24" i="7" s="1"/>
  <c r="AC24" i="7"/>
  <c r="AE24" i="7"/>
  <c r="AF27" i="7" s="1"/>
  <c r="AE43" i="7" l="1"/>
  <c r="AF9" i="7"/>
  <c r="AF28" i="7" s="1"/>
  <c r="AC43" i="7"/>
  <c r="AK37" i="7" s="1"/>
  <c r="AK44" i="7" s="1"/>
</calcChain>
</file>

<file path=xl/sharedStrings.xml><?xml version="1.0" encoding="utf-8"?>
<sst xmlns="http://schemas.openxmlformats.org/spreadsheetml/2006/main" count="1638" uniqueCount="119">
  <si>
    <t>About the Game</t>
  </si>
  <si>
    <t>Game Name</t>
  </si>
  <si>
    <t>Burning classic</t>
  </si>
  <si>
    <t>• 20 line game left-to-right evaluation</t>
  </si>
  <si>
    <t>Game Type</t>
  </si>
  <si>
    <t>20 lines</t>
  </si>
  <si>
    <t>• Wins are formed by matching symbols on consecutive reels starting from reel 1</t>
  </si>
  <si>
    <t>Window Size (Base Game)</t>
  </si>
  <si>
    <t>3X5</t>
  </si>
  <si>
    <t xml:space="preserve">only &gt;=3  of kind combination is paid </t>
  </si>
  <si>
    <t>Pay Direction</t>
  </si>
  <si>
    <t>Left to Right</t>
  </si>
  <si>
    <t>Free spins can be retriggered. Retrigger gives 10 free spins</t>
  </si>
  <si>
    <t>Total Bet Range</t>
  </si>
  <si>
    <t>If 3OK of Wild has less pay than 3OK Wild plus Symbol , then symbol's 4OK is paid and similar case for 4OK wild.</t>
  </si>
  <si>
    <t xml:space="preserve">Buy multiplier </t>
  </si>
  <si>
    <t>50x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</si>
  <si>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</si>
  <si>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Symbols Table</t>
  </si>
  <si>
    <t>3OK</t>
  </si>
  <si>
    <t>4OK</t>
  </si>
  <si>
    <t>5OK</t>
  </si>
  <si>
    <t>HV1</t>
  </si>
  <si>
    <t>AA</t>
  </si>
  <si>
    <t>HV2</t>
  </si>
  <si>
    <t>BB</t>
  </si>
  <si>
    <t>HV3</t>
  </si>
  <si>
    <t>CC</t>
  </si>
  <si>
    <t>LV1</t>
  </si>
  <si>
    <t>DD</t>
  </si>
  <si>
    <t>LV2</t>
  </si>
  <si>
    <t>EE</t>
  </si>
  <si>
    <t>LV3</t>
  </si>
  <si>
    <t>FF</t>
  </si>
  <si>
    <t>LV4</t>
  </si>
  <si>
    <t>GG</t>
  </si>
  <si>
    <t>Wild</t>
  </si>
  <si>
    <t>WD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</si>
  <si>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</si>
  <si>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Scatter</t>
  </si>
  <si>
    <t>SC</t>
  </si>
  <si>
    <t>Line</t>
  </si>
  <si>
    <t>Reel 1</t>
  </si>
  <si>
    <t>Reel 2</t>
  </si>
  <si>
    <t>Reel 3</t>
  </si>
  <si>
    <t>Reel 4</t>
  </si>
  <si>
    <t>Reel 5</t>
  </si>
  <si>
    <t>Base Game Stats</t>
  </si>
  <si>
    <t>Win Brackets</t>
  </si>
  <si>
    <t>Base game Hitrate</t>
  </si>
  <si>
    <t>Win</t>
  </si>
  <si>
    <t>Frequency (%)</t>
  </si>
  <si>
    <t>Count</t>
  </si>
  <si>
    <t>Base bet</t>
  </si>
  <si>
    <t>0x</t>
  </si>
  <si>
    <t>0-1x</t>
  </si>
  <si>
    <t>Base game RTP</t>
  </si>
  <si>
    <t xml:space="preserve">Max win cap </t>
  </si>
  <si>
    <t>Free game Stats</t>
  </si>
  <si>
    <t>1 - 2x</t>
  </si>
  <si>
    <t>Free Game RTP</t>
  </si>
  <si>
    <t>max win hitrate</t>
  </si>
  <si>
    <t>Free game Trigger Rate</t>
  </si>
  <si>
    <t>2 - 3x</t>
  </si>
  <si>
    <t xml:space="preserve">Simulation count </t>
  </si>
  <si>
    <t xml:space="preserve">Free game Hitrate </t>
  </si>
  <si>
    <t>3 - 5x</t>
  </si>
  <si>
    <t>Total</t>
  </si>
  <si>
    <t>5 - 10x</t>
  </si>
  <si>
    <t>Average Free spins :</t>
  </si>
  <si>
    <t>10 - 20x</t>
  </si>
  <si>
    <t>Average Wins :</t>
  </si>
  <si>
    <t>26.153X</t>
  </si>
  <si>
    <t>20-50x</t>
  </si>
  <si>
    <t>Retrigger rate :</t>
  </si>
  <si>
    <t>50-100x</t>
  </si>
  <si>
    <t>100-200x</t>
  </si>
  <si>
    <t>Buy free spin</t>
  </si>
  <si>
    <t>200-300x</t>
  </si>
  <si>
    <t xml:space="preserve">Average Win </t>
  </si>
  <si>
    <t xml:space="preserve"> 47.489x</t>
  </si>
  <si>
    <t>300-500x</t>
  </si>
  <si>
    <t>500-600x</t>
  </si>
  <si>
    <t>600+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</si>
  <si>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</si>
  <si>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</si>
  <si>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</si>
  <si>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Basegame Reel Strip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</si>
  <si>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</si>
  <si>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Symbol</t>
  </si>
  <si>
    <t>Number</t>
  </si>
  <si>
    <t>Payout</t>
  </si>
  <si>
    <t>Hits</t>
  </si>
  <si>
    <t>RTP</t>
  </si>
  <si>
    <t>Symbols</t>
  </si>
  <si>
    <t>With</t>
  </si>
  <si>
    <t>SC Combination</t>
  </si>
  <si>
    <t>--</t>
  </si>
  <si>
    <t>Total wins</t>
  </si>
  <si>
    <t>scatter trigger</t>
  </si>
  <si>
    <t>Toal bet</t>
  </si>
  <si>
    <t xml:space="preserve">RTP </t>
  </si>
  <si>
    <t xml:space="preserve">Total rtp </t>
  </si>
  <si>
    <t>retrigger spins</t>
  </si>
  <si>
    <t xml:space="preserve">Total win </t>
  </si>
  <si>
    <t>Total bet</t>
  </si>
  <si>
    <t>Average free spins</t>
  </si>
  <si>
    <t>Total scatter hits</t>
  </si>
  <si>
    <t xml:space="preserve">total rtp </t>
  </si>
  <si>
    <t xml:space="preserve"> </t>
  </si>
  <si>
    <t>Average wins</t>
  </si>
  <si>
    <t>Buy free Reel Strip</t>
  </si>
  <si>
    <t>Freegame Reel Strip</t>
  </si>
  <si>
    <t>Wins</t>
  </si>
  <si>
    <t>scatter retrigger</t>
  </si>
  <si>
    <t>Buy strip wins</t>
  </si>
  <si>
    <t>Buy strip bets</t>
  </si>
  <si>
    <t>Buy strips average wins</t>
  </si>
  <si>
    <t>Total Average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</si>
</sst>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%"/>
    <numFmt numFmtId="165" formatCode="#,##0.0000"/>
    <numFmt numFmtId="166" formatCode="#,##0.000"/>
    <numFmt numFmtId="167" formatCode="_ * #,##0.00_ ;_ * \-#,##0.00_ ;_ * \-??_ ;_ @_ "/>
    <numFmt numFmtId="168" formatCode="0.00000%"/>
    <numFmt numFmtId="169" formatCode="0.000%"/>
    <numFmt numFmtId="170" formatCode="0.0000%"/>
  </numFmts>
  <fonts count="14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Cambria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mbria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EBF1DE"/>
        <bgColor rgb="FFEEF2FF"/>
      </patternFill>
    </fill>
    <fill>
      <patternFill patternType="solid">
        <fgColor theme="0"/>
        <bgColor rgb="FFEEF2FF"/>
      </patternFill>
    </fill>
    <fill>
      <patternFill patternType="solid">
        <fgColor rgb="FFDDD9C3"/>
        <bgColor rgb="FFD9D9D9"/>
      </patternFill>
    </fill>
    <fill>
      <patternFill patternType="solid">
        <fgColor rgb="FFD9D9D9"/>
        <bgColor rgb="FFDDD9C3"/>
      </patternFill>
    </fill>
    <fill>
      <patternFill patternType="solid">
        <fgColor rgb="FF729FCF"/>
        <bgColor rgb="FF558ED5"/>
      </patternFill>
    </fill>
    <fill>
      <patternFill patternType="solid">
        <fgColor rgb="FFEBF1DE"/>
        <bgColor rgb="FFEBF1DE"/>
      </patternFill>
    </fill>
    <fill>
      <patternFill patternType="solid">
        <fgColor rgb="FF1F2937"/>
      </patternFill>
    </fill>
    <fill>
      <patternFill patternType="solid">
        <fgColor theme="0"/>
        <bgColor rgb="FFCCCCCC"/>
      </patternFill>
    </fill>
    <fill>
      <patternFill patternType="solid">
        <fgColor theme="6" tint="0.79998168889431442"/>
        <bgColor rgb="FFEEF2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rgb="FFEBF1DE"/>
      </patternFill>
    </fill>
    <fill>
      <patternFill patternType="solid">
        <fgColor theme="2" tint="-0.249977111117893"/>
        <bgColor rgb="FF77933C"/>
      </patternFill>
    </fill>
    <fill>
      <patternFill patternType="solid">
        <fgColor theme="9" tint="0.59999389629810485"/>
        <bgColor rgb="FFFF99CC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2" tint="-0.249977111117893"/>
        <bgColor rgb="FFD9D9D9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3">
    <xf numFmtId="0" fontId="0" fillId="0" borderId="0"/>
    <xf numFmtId="167" fontId="6" fillId="0" borderId="0" applyBorder="0" applyProtection="0"/>
    <xf numFmtId="0" fontId="1" fillId="0" borderId="0"/>
  </cellStyleXfs>
  <cellXfs count="92">
    <xf numFmtId="0" fontId="0" fillId="0" borderId="0" xfId="0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3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5" fontId="3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left"/>
    </xf>
    <xf numFmtId="3" fontId="0" fillId="0" borderId="0" xfId="0" applyNumberFormat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3" fillId="3" borderId="1" xfId="0" applyFont="1" applyFill="1" applyBorder="1" applyAlignment="1">
      <alignment horizontal="left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3" fontId="3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3" fontId="3" fillId="5" borderId="1" xfId="0" applyNumberFormat="1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right"/>
    </xf>
    <xf numFmtId="0" fontId="3" fillId="0" borderId="0" xfId="1" applyNumberFormat="1" applyFont="1" applyBorder="1" applyAlignment="1" applyProtection="1">
      <alignment horizontal="center"/>
    </xf>
    <xf numFmtId="0" fontId="0" fillId="6" borderId="0" xfId="0" applyFill="1"/>
    <xf numFmtId="0" fontId="7" fillId="0" borderId="0" xfId="0" applyFont="1"/>
    <xf numFmtId="0" fontId="8" fillId="0" borderId="0" xfId="0" applyFont="1"/>
    <xf numFmtId="0" fontId="7" fillId="7" borderId="0" xfId="0" applyFont="1" applyFill="1"/>
    <xf numFmtId="0" fontId="7" fillId="7" borderId="0" xfId="0" applyFont="1" applyFill="1" applyAlignment="1">
      <alignment horizontal="center" vertical="center"/>
    </xf>
    <xf numFmtId="0" fontId="9" fillId="8" borderId="2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11" borderId="0" xfId="0" applyFill="1" applyAlignment="1">
      <alignment horizontal="left"/>
    </xf>
    <xf numFmtId="0" fontId="7" fillId="12" borderId="0" xfId="0" applyFont="1" applyFill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6" borderId="0" xfId="0" applyFill="1"/>
    <xf numFmtId="166" fontId="3" fillId="17" borderId="1" xfId="0" applyNumberFormat="1" applyFont="1" applyFill="1" applyBorder="1" applyAlignment="1">
      <alignment horizontal="right"/>
    </xf>
    <xf numFmtId="0" fontId="3" fillId="18" borderId="1" xfId="0" applyFont="1" applyFill="1" applyBorder="1" applyAlignment="1">
      <alignment horizontal="right"/>
    </xf>
    <xf numFmtId="0" fontId="3" fillId="18" borderId="1" xfId="0" applyFont="1" applyFill="1" applyBorder="1" applyAlignment="1">
      <alignment horizontal="left"/>
    </xf>
    <xf numFmtId="0" fontId="3" fillId="19" borderId="3" xfId="0" applyFont="1" applyFill="1" applyBorder="1" applyAlignment="1">
      <alignment horizontal="center"/>
    </xf>
    <xf numFmtId="0" fontId="0" fillId="19" borderId="3" xfId="0" applyFill="1" applyBorder="1"/>
    <xf numFmtId="0" fontId="0" fillId="16" borderId="4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3" fillId="16" borderId="7" xfId="0" applyFont="1" applyFill="1" applyBorder="1" applyAlignment="1">
      <alignment horizontal="center"/>
    </xf>
    <xf numFmtId="0" fontId="0" fillId="16" borderId="8" xfId="0" applyFill="1" applyBorder="1" applyAlignment="1">
      <alignment horizontal="center" vertical="center"/>
    </xf>
    <xf numFmtId="16" fontId="0" fillId="16" borderId="8" xfId="0" applyNumberFormat="1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6" borderId="4" xfId="0" applyFill="1" applyBorder="1"/>
    <xf numFmtId="0" fontId="0" fillId="16" borderId="5" xfId="0" applyFill="1" applyBorder="1"/>
    <xf numFmtId="165" fontId="0" fillId="16" borderId="5" xfId="0" applyNumberFormat="1" applyFill="1" applyBorder="1" applyAlignment="1">
      <alignment horizontal="center"/>
    </xf>
    <xf numFmtId="0" fontId="3" fillId="16" borderId="7" xfId="0" applyFont="1" applyFill="1" applyBorder="1" applyAlignment="1">
      <alignment horizontal="left"/>
    </xf>
    <xf numFmtId="0" fontId="3" fillId="16" borderId="8" xfId="0" applyFont="1" applyFill="1" applyBorder="1" applyAlignment="1">
      <alignment horizontal="left"/>
    </xf>
    <xf numFmtId="0" fontId="3" fillId="19" borderId="3" xfId="0" applyFont="1" applyFill="1" applyBorder="1" applyAlignment="1">
      <alignment horizontal="left"/>
    </xf>
    <xf numFmtId="165" fontId="0" fillId="19" borderId="3" xfId="0" applyNumberFormat="1" applyFill="1" applyBorder="1" applyAlignment="1">
      <alignment horizontal="right"/>
    </xf>
    <xf numFmtId="0" fontId="3" fillId="10" borderId="0" xfId="0" applyFont="1" applyFill="1" applyAlignment="1">
      <alignment horizontal="left"/>
    </xf>
    <xf numFmtId="164" fontId="3" fillId="15" borderId="0" xfId="0" applyNumberFormat="1" applyFont="1" applyFill="1" applyAlignment="1">
      <alignment horizontal="left"/>
    </xf>
    <xf numFmtId="164" fontId="3" fillId="3" borderId="10" xfId="0" applyNumberFormat="1" applyFont="1" applyFill="1" applyBorder="1" applyAlignment="1">
      <alignment horizontal="left"/>
    </xf>
    <xf numFmtId="0" fontId="13" fillId="0" borderId="3" xfId="0" applyFont="1" applyBorder="1"/>
    <xf numFmtId="0" fontId="0" fillId="0" borderId="3" xfId="0" applyBorder="1"/>
    <xf numFmtId="0" fontId="0" fillId="20" borderId="3" xfId="0" applyFill="1" applyBorder="1"/>
    <xf numFmtId="168" fontId="0" fillId="20" borderId="3" xfId="0" applyNumberFormat="1" applyFill="1" applyBorder="1"/>
    <xf numFmtId="0" fontId="0" fillId="0" borderId="3" xfId="0" quotePrefix="1" applyBorder="1"/>
    <xf numFmtId="0" fontId="0" fillId="20" borderId="8" xfId="0" applyFill="1" applyBorder="1"/>
    <xf numFmtId="168" fontId="0" fillId="0" borderId="0" xfId="0" applyNumberFormat="1"/>
    <xf numFmtId="10" fontId="0" fillId="0" borderId="0" xfId="0" applyNumberFormat="1"/>
    <xf numFmtId="10" fontId="0" fillId="20" borderId="3" xfId="0" applyNumberFormat="1" applyFill="1" applyBorder="1"/>
    <xf numFmtId="0" fontId="7" fillId="11" borderId="0" xfId="0" applyFont="1" applyFill="1" applyAlignment="1">
      <alignment horizontal="center" vertical="center"/>
    </xf>
    <xf numFmtId="168" fontId="0" fillId="20" borderId="0" xfId="0" applyNumberFormat="1" applyFill="1"/>
    <xf numFmtId="169" fontId="0" fillId="0" borderId="0" xfId="0" applyNumberFormat="1"/>
    <xf numFmtId="170" fontId="0" fillId="0" borderId="0" xfId="0" applyNumberFormat="1"/>
    <xf numFmtId="0" fontId="0" fillId="11" borderId="1" xfId="0" applyFill="1" applyBorder="1" applyAlignment="1">
      <alignment horizontal="center"/>
    </xf>
    <xf numFmtId="17" fontId="0" fillId="0" borderId="0" xfId="0" applyNumberFormat="1"/>
    <xf numFmtId="0" fontId="0" fillId="16" borderId="0" xfId="0" applyFill="1" applyAlignment="1">
      <alignment horizontal="right"/>
    </xf>
    <xf numFmtId="0" fontId="0" fillId="11" borderId="0" xfId="0" applyFill="1" applyAlignment="1">
      <alignment horizontal="center" wrapText="1"/>
    </xf>
    <xf numFmtId="0" fontId="0" fillId="21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5" borderId="0" xfId="0" applyFill="1" applyAlignment="1">
      <alignment horizontal="center"/>
    </xf>
  </cellXfs>
  <cellStyles count="3">
    <cellStyle name="Comma" xfId="1" builtinId="3"/>
    <cellStyle name="Normal" xfId="0" builtinId="0"/>
    <cellStyle name="Normal 2" xfId="2" xr:uid="{21E15C89-5EC6-41A4-B7BA-5A066EA8643F}"/>
  </cellStyles>
  <dxfs count="26"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6C6C6"/>
      <rgbColor rgb="FF948A54"/>
      <rgbColor rgb="FF729FCF"/>
      <rgbColor rgb="FF993366"/>
      <rgbColor rgb="FFEBF1DE"/>
      <rgbColor rgb="FFEEF2FF"/>
      <rgbColor rgb="FF660066"/>
      <rgbColor rgb="FFD99694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3D69B"/>
      <rgbColor rgb="FFD9D9D9"/>
      <rgbColor rgb="FFD4EA6B"/>
      <rgbColor rgb="FF8EB4E3"/>
      <rgbColor rgb="FFFF99CC"/>
      <rgbColor rgb="FFB3A2C7"/>
      <rgbColor rgb="FFDDD9C3"/>
      <rgbColor rgb="FF3366FF"/>
      <rgbColor rgb="FF33CCCC"/>
      <rgbColor rgb="FF92D050"/>
      <rgbColor rgb="FFFFC000"/>
      <rgbColor rgb="FFFF9900"/>
      <rgbColor rgb="FFFF6600"/>
      <rgbColor rgb="FF558ED5"/>
      <rgbColor rgb="FFC4BD97"/>
      <rgbColor rgb="FF003366"/>
      <rgbColor rgb="FF339966"/>
      <rgbColor rgb="FF121212"/>
      <rgbColor rgb="FF333300"/>
      <rgbColor rgb="FF993300"/>
      <rgbColor rgb="FF993366"/>
      <rgbColor rgb="FF2F4F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52"/>
  <sheetViews>
    <sheetView tabSelected="1" topLeftCell="A12" zoomScale="90" zoomScaleNormal="90" workbookViewId="0">
      <selection activeCell="C13" sqref="C13"/>
    </sheetView>
  </sheetViews>
  <sheetFormatPr defaultColWidth="8.7109375" defaultRowHeight="14.45"/>
  <cols>
    <col min="1" max="1" width="27.7109375" style="3" customWidth="1"/>
    <col min="2" max="2" width="19.5703125" customWidth="1"/>
    <col min="3" max="3" width="14" customWidth="1"/>
    <col min="4" max="7" width="13.5703125" style="4" customWidth="1"/>
    <col min="8" max="8" width="75.140625" style="4" customWidth="1"/>
    <col min="9" max="9" width="7.5703125" style="5" customWidth="1"/>
    <col min="10" max="12" width="13.5703125" customWidth="1"/>
  </cols>
  <sheetData>
    <row r="1" spans="1:12" ht="18.75" customHeight="1">
      <c r="A1" s="6" t="s">
        <v>0</v>
      </c>
      <c r="B1" s="7"/>
      <c r="C1" s="7"/>
      <c r="D1" s="7"/>
      <c r="E1" s="7"/>
      <c r="F1" s="7"/>
      <c r="G1" s="7"/>
      <c r="H1" s="7"/>
      <c r="I1" s="70"/>
      <c r="J1" s="7"/>
      <c r="K1" s="7"/>
      <c r="L1" s="7"/>
    </row>
    <row r="2" spans="1:12" ht="15" customHeight="1">
      <c r="A2" s="9" t="s">
        <v>1</v>
      </c>
      <c r="B2" s="10" t="s">
        <v>2</v>
      </c>
      <c r="C2" s="11"/>
      <c r="D2" s="7"/>
      <c r="E2" s="7"/>
      <c r="F2" s="7"/>
      <c r="G2" s="7"/>
      <c r="H2" s="69" t="s">
        <v>3</v>
      </c>
      <c r="I2" s="71"/>
      <c r="J2" s="7"/>
      <c r="K2" s="7"/>
      <c r="L2" s="7"/>
    </row>
    <row r="3" spans="1:12" ht="15" customHeight="1">
      <c r="A3" s="13" t="s">
        <v>4</v>
      </c>
      <c r="B3" s="14" t="s">
        <v>5</v>
      </c>
      <c r="C3" s="7"/>
      <c r="D3" s="7"/>
      <c r="E3" s="7"/>
      <c r="F3" s="7"/>
      <c r="G3" s="7"/>
      <c r="H3" s="69" t="s">
        <v>6</v>
      </c>
      <c r="I3" s="71"/>
      <c r="J3" s="7"/>
      <c r="K3" s="7"/>
      <c r="L3" s="7"/>
    </row>
    <row r="4" spans="1:12" ht="15" customHeight="1">
      <c r="A4" s="13" t="s">
        <v>7</v>
      </c>
      <c r="B4" s="14" t="s">
        <v>8</v>
      </c>
      <c r="C4" s="7"/>
      <c r="D4" s="7"/>
      <c r="E4" s="7"/>
      <c r="F4" s="7"/>
      <c r="G4" s="7"/>
      <c r="H4" s="69" t="s">
        <v>9</v>
      </c>
      <c r="I4" s="71"/>
      <c r="J4" s="7"/>
      <c r="K4" s="7"/>
      <c r="L4" s="7"/>
    </row>
    <row r="5" spans="1:12" ht="15" customHeight="1">
      <c r="A5" s="13" t="s">
        <v>10</v>
      </c>
      <c r="B5" s="14" t="s">
        <v>11</v>
      </c>
      <c r="C5" s="7"/>
      <c r="D5" s="7"/>
      <c r="E5" s="7"/>
      <c r="F5" s="7"/>
      <c r="G5" s="7"/>
      <c r="H5" s="42" t="s">
        <v>12</v>
      </c>
      <c r="I5" s="71"/>
      <c r="J5" s="7"/>
      <c r="K5" s="7"/>
      <c r="L5" s="7"/>
    </row>
    <row r="6" spans="1:12" ht="18.75" customHeight="1">
      <c r="A6" s="6" t="s">
        <v>13</v>
      </c>
      <c r="B6" s="16"/>
      <c r="C6" s="7"/>
      <c r="D6" s="7"/>
      <c r="E6" s="7"/>
      <c r="F6" s="7"/>
      <c r="G6" s="7"/>
      <c r="H6" s="88" t="s">
        <v>14</v>
      </c>
      <c r="I6" s="71"/>
      <c r="J6" s="7"/>
      <c r="K6" s="7"/>
      <c r="L6" s="7"/>
    </row>
    <row r="7" spans="1:12" ht="18.75" customHeight="1">
      <c r="A7" s="3" t="s">
        <v>15</v>
      </c>
      <c r="B7" t="s">
        <v>16</v>
      </c>
      <c r="C7" s="7"/>
      <c r="D7" s="7"/>
      <c r="E7" s="7"/>
      <c r="F7" s="7"/>
      <c r="G7" s="7"/>
      <c r="H7" s="88"/>
      <c r="J7" s="7"/>
      <c r="K7" s="7"/>
      <c r="L7" s="7"/>
    </row>
    <row r="8" spans="1:12" ht="16.899999999999999" customHeight="1">
      <c r="A8" s="17"/>
      <c r="B8" s="7"/>
      <c r="C8" s="7"/>
      <c r="D8" s="7"/>
      <c r="E8" s="7"/>
      <c r="F8" s="7"/>
      <c r="G8" s="7"/>
      <c r="J8" s="7"/>
      <c r="K8" s="7"/>
      <c r="L8" s="7"/>
    </row>
    <row r="9" spans="1:12" ht="18.75" customHeight="1">
      <c r="I9" s="8"/>
    </row>
    <row r="10" spans="1:12" ht="18.75" customHeight="1">
      <c r="I10" s="8"/>
    </row>
    <row r="11" spans="1:12" ht="18.75" customHeight="1"/>
    <row r="12" spans="1:12" ht="18.75" customHeight="1">
      <c r="A12" s="17"/>
      <c r="B12" s="7"/>
      <c r="C12" s="7"/>
      <c r="D12" s="7"/>
      <c r="E12" s="7"/>
      <c r="F12" s="7"/>
      <c r="G12" s="7"/>
      <c r="J12" s="7"/>
      <c r="K12" s="7"/>
      <c r="L12" s="7"/>
    </row>
    <row r="13" spans="1:12" ht="18.75" customHeight="1">
      <c r="A13" s="17"/>
      <c r="B13" s="7"/>
      <c r="C13" s="7" t="s">
        <v>17</v>
      </c>
      <c r="D13" s="7"/>
      <c r="E13" s="7"/>
      <c r="F13" s="7"/>
      <c r="G13" s="7"/>
    </row>
    <row r="14" spans="1:12" ht="18.75" customHeight="1">
      <c r="A14" s="19" t="s">
        <v>18</v>
      </c>
      <c r="B14" s="20"/>
      <c r="C14" s="20" t="s">
        <v>19</v>
      </c>
      <c r="D14" s="20" t="s">
        <v>20</v>
      </c>
      <c r="E14" s="20" t="s">
        <v>21</v>
      </c>
      <c r="G14" s="21"/>
    </row>
    <row r="15" spans="1:12" ht="18.75" customHeight="1">
      <c r="A15" s="19" t="s">
        <v>22</v>
      </c>
      <c r="B15" s="20" t="s">
        <v>23</v>
      </c>
      <c r="C15" s="20">
        <v>20</v>
      </c>
      <c r="D15" s="20">
        <v>100</v>
      </c>
      <c r="E15" s="20">
        <v>200</v>
      </c>
      <c r="G15" s="21"/>
    </row>
    <row r="16" spans="1:12" ht="18.75" customHeight="1">
      <c r="A16" s="19" t="s">
        <v>24</v>
      </c>
      <c r="B16" s="20" t="s">
        <v>25</v>
      </c>
      <c r="C16" s="20">
        <v>20</v>
      </c>
      <c r="D16" s="20">
        <v>100</v>
      </c>
      <c r="E16" s="20">
        <v>200</v>
      </c>
      <c r="G16" s="21"/>
    </row>
    <row r="17" spans="1:12" ht="18.75" customHeight="1">
      <c r="A17" s="19" t="s">
        <v>26</v>
      </c>
      <c r="B17" s="20" t="s">
        <v>27</v>
      </c>
      <c r="C17" s="20">
        <v>20</v>
      </c>
      <c r="D17" s="20">
        <v>100</v>
      </c>
      <c r="E17" s="20">
        <v>200</v>
      </c>
      <c r="G17" s="21"/>
    </row>
    <row r="18" spans="1:12" ht="18.75" customHeight="1">
      <c r="A18" s="19" t="s">
        <v>28</v>
      </c>
      <c r="B18" s="20" t="s">
        <v>29</v>
      </c>
      <c r="C18" s="20">
        <v>5</v>
      </c>
      <c r="D18" s="20">
        <v>20</v>
      </c>
      <c r="E18" s="20">
        <v>100</v>
      </c>
      <c r="G18" s="21"/>
    </row>
    <row r="19" spans="1:12" ht="18.75" customHeight="1">
      <c r="A19" s="19" t="s">
        <v>30</v>
      </c>
      <c r="B19" s="20" t="s">
        <v>31</v>
      </c>
      <c r="C19" s="20">
        <v>5</v>
      </c>
      <c r="D19" s="20">
        <v>20</v>
      </c>
      <c r="E19" s="20">
        <v>100</v>
      </c>
      <c r="G19" s="21"/>
    </row>
    <row r="20" spans="1:12" ht="18.75" customHeight="1">
      <c r="A20" s="19" t="s">
        <v>32</v>
      </c>
      <c r="B20" s="20" t="s">
        <v>33</v>
      </c>
      <c r="C20" s="20">
        <v>1</v>
      </c>
      <c r="D20" s="20">
        <v>10</v>
      </c>
      <c r="E20" s="20">
        <v>50</v>
      </c>
      <c r="G20" s="21"/>
    </row>
    <row r="21" spans="1:12" ht="18.75" customHeight="1">
      <c r="A21" s="19" t="s">
        <v>34</v>
      </c>
      <c r="B21" s="20" t="s">
        <v>35</v>
      </c>
      <c r="C21" s="20">
        <v>1</v>
      </c>
      <c r="D21" s="20">
        <v>10</v>
      </c>
      <c r="E21" s="20">
        <v>50</v>
      </c>
      <c r="G21" s="21"/>
    </row>
    <row r="22" spans="1:12" ht="18.75" customHeight="1">
      <c r="A22" s="19" t="s">
        <v>36</v>
      </c>
      <c r="B22" s="20" t="s">
        <v>37</v>
      </c>
      <c r="C22" s="20">
        <v>40</v>
      </c>
      <c r="D22" s="20">
        <v>400</v>
      </c>
      <c r="E22" s="20">
        <v>1000</v>
      </c>
      <c r="G22" s="21"/>
      <c r="I22" s="5" t="s">
        <v>38</v>
      </c>
    </row>
    <row r="23" spans="1:12" ht="18.75" customHeight="1">
      <c r="A23" s="19" t="s">
        <v>39</v>
      </c>
      <c r="B23" s="20" t="s">
        <v>40</v>
      </c>
      <c r="C23" s="20">
        <v>10</v>
      </c>
      <c r="D23" s="20">
        <v>50</v>
      </c>
      <c r="E23" s="20">
        <v>500</v>
      </c>
      <c r="F23" s="7"/>
      <c r="G23" s="21"/>
    </row>
    <row r="24" spans="1:12" ht="18.75" customHeight="1">
      <c r="A24" s="23"/>
      <c r="B24" s="24"/>
      <c r="C24" s="24"/>
      <c r="D24" s="7"/>
      <c r="E24" s="7"/>
      <c r="F24" s="7"/>
      <c r="G24" s="21"/>
    </row>
    <row r="25" spans="1:12" ht="19.149999999999999" customHeight="1">
      <c r="A25" s="23"/>
      <c r="B25" s="24"/>
      <c r="C25" s="24"/>
      <c r="D25" s="7"/>
      <c r="E25" s="7"/>
      <c r="F25" s="7"/>
      <c r="G25" s="21"/>
    </row>
    <row r="26" spans="1:12" ht="18" customHeight="1">
      <c r="A26" s="38" t="s">
        <v>41</v>
      </c>
      <c r="B26" s="38" t="s">
        <v>42</v>
      </c>
      <c r="C26" s="38" t="s">
        <v>43</v>
      </c>
      <c r="D26" s="38" t="s">
        <v>44</v>
      </c>
      <c r="E26" s="38" t="s">
        <v>45</v>
      </c>
      <c r="F26" s="38" t="s">
        <v>46</v>
      </c>
      <c r="G26" s="7"/>
      <c r="L26" s="7"/>
    </row>
    <row r="27" spans="1:12" ht="18" customHeight="1">
      <c r="A27" s="39">
        <v>1</v>
      </c>
      <c r="B27" s="40">
        <v>1</v>
      </c>
      <c r="C27" s="40">
        <v>1</v>
      </c>
      <c r="D27" s="40">
        <v>1</v>
      </c>
      <c r="E27" s="40">
        <v>1</v>
      </c>
      <c r="F27" s="40">
        <v>1</v>
      </c>
      <c r="G27" s="7"/>
      <c r="L27" s="7"/>
    </row>
    <row r="28" spans="1:12" ht="18" customHeight="1">
      <c r="A28" s="39">
        <v>2</v>
      </c>
      <c r="B28" s="40">
        <v>0</v>
      </c>
      <c r="C28" s="40">
        <v>0</v>
      </c>
      <c r="D28" s="40">
        <v>0</v>
      </c>
      <c r="E28" s="40">
        <v>0</v>
      </c>
      <c r="F28" s="40">
        <v>0</v>
      </c>
      <c r="G28" s="7"/>
      <c r="L28" s="7"/>
    </row>
    <row r="29" spans="1:12" ht="18" customHeight="1">
      <c r="A29" s="39">
        <v>3</v>
      </c>
      <c r="B29" s="40">
        <v>2</v>
      </c>
      <c r="C29" s="40">
        <v>2</v>
      </c>
      <c r="D29" s="40">
        <v>2</v>
      </c>
      <c r="E29" s="40">
        <v>2</v>
      </c>
      <c r="F29" s="40">
        <v>2</v>
      </c>
      <c r="G29" s="7"/>
      <c r="L29" s="7"/>
    </row>
    <row r="30" spans="1:12" ht="18" customHeight="1">
      <c r="A30" s="39">
        <v>4</v>
      </c>
      <c r="B30" s="40">
        <v>0</v>
      </c>
      <c r="C30" s="40">
        <v>1</v>
      </c>
      <c r="D30" s="40">
        <v>2</v>
      </c>
      <c r="E30" s="40">
        <v>1</v>
      </c>
      <c r="F30" s="40">
        <v>0</v>
      </c>
      <c r="G30" s="7"/>
    </row>
    <row r="31" spans="1:12" ht="18" customHeight="1">
      <c r="A31" s="39">
        <v>5</v>
      </c>
      <c r="B31" s="40">
        <v>2</v>
      </c>
      <c r="C31" s="40">
        <v>1</v>
      </c>
      <c r="D31" s="40">
        <v>0</v>
      </c>
      <c r="E31" s="40">
        <v>1</v>
      </c>
      <c r="F31" s="40">
        <v>2</v>
      </c>
      <c r="G31" s="7"/>
    </row>
    <row r="32" spans="1:12" ht="18" customHeight="1">
      <c r="A32" s="39">
        <v>6</v>
      </c>
      <c r="B32" s="40">
        <v>0</v>
      </c>
      <c r="C32" s="40">
        <v>0</v>
      </c>
      <c r="D32" s="40">
        <v>1</v>
      </c>
      <c r="E32" s="40">
        <v>0</v>
      </c>
      <c r="F32" s="40">
        <v>0</v>
      </c>
      <c r="G32" s="7"/>
    </row>
    <row r="33" spans="1:7" ht="18" customHeight="1">
      <c r="A33" s="39">
        <v>7</v>
      </c>
      <c r="B33" s="40">
        <v>2</v>
      </c>
      <c r="C33" s="40">
        <v>2</v>
      </c>
      <c r="D33" s="40">
        <v>1</v>
      </c>
      <c r="E33" s="40">
        <v>2</v>
      </c>
      <c r="F33" s="40">
        <v>2</v>
      </c>
      <c r="G33" s="7"/>
    </row>
    <row r="34" spans="1:7" ht="18" customHeight="1">
      <c r="A34" s="39">
        <v>8</v>
      </c>
      <c r="B34" s="40">
        <v>1</v>
      </c>
      <c r="C34" s="40">
        <v>2</v>
      </c>
      <c r="D34" s="40">
        <v>2</v>
      </c>
      <c r="E34" s="40">
        <v>2</v>
      </c>
      <c r="F34" s="40">
        <v>1</v>
      </c>
      <c r="G34" s="7"/>
    </row>
    <row r="35" spans="1:7" ht="18" customHeight="1">
      <c r="A35" s="39">
        <v>9</v>
      </c>
      <c r="B35" s="40">
        <v>1</v>
      </c>
      <c r="C35" s="40">
        <v>0</v>
      </c>
      <c r="D35" s="40">
        <v>0</v>
      </c>
      <c r="E35" s="40">
        <v>0</v>
      </c>
      <c r="F35" s="40">
        <v>1</v>
      </c>
      <c r="G35" s="7"/>
    </row>
    <row r="36" spans="1:7" ht="18" customHeight="1">
      <c r="A36" s="39">
        <v>10</v>
      </c>
      <c r="B36" s="40">
        <v>1</v>
      </c>
      <c r="C36" s="40">
        <v>0</v>
      </c>
      <c r="D36" s="40">
        <v>1</v>
      </c>
      <c r="E36" s="40">
        <v>0</v>
      </c>
      <c r="F36" s="40">
        <v>1</v>
      </c>
      <c r="G36" s="7"/>
    </row>
    <row r="37" spans="1:7" ht="18" customHeight="1">
      <c r="A37" s="39">
        <v>11</v>
      </c>
      <c r="B37" s="40">
        <v>1</v>
      </c>
      <c r="C37" s="40">
        <v>2</v>
      </c>
      <c r="D37" s="40">
        <v>1</v>
      </c>
      <c r="E37" s="40">
        <v>2</v>
      </c>
      <c r="F37" s="40">
        <v>1</v>
      </c>
      <c r="G37" s="7"/>
    </row>
    <row r="38" spans="1:7" ht="18" customHeight="1">
      <c r="A38" s="39">
        <v>12</v>
      </c>
      <c r="B38" s="40">
        <v>0</v>
      </c>
      <c r="C38" s="40">
        <v>1</v>
      </c>
      <c r="D38" s="40">
        <v>0</v>
      </c>
      <c r="E38" s="40">
        <v>1</v>
      </c>
      <c r="F38" s="40">
        <v>0</v>
      </c>
      <c r="G38" s="7"/>
    </row>
    <row r="39" spans="1:7" ht="18" customHeight="1">
      <c r="A39" s="39">
        <v>13</v>
      </c>
      <c r="B39" s="40">
        <v>2</v>
      </c>
      <c r="C39" s="40">
        <v>1</v>
      </c>
      <c r="D39" s="40">
        <v>2</v>
      </c>
      <c r="E39" s="40">
        <v>1</v>
      </c>
      <c r="F39" s="40">
        <v>2</v>
      </c>
    </row>
    <row r="40" spans="1:7" ht="18" customHeight="1">
      <c r="A40" s="39">
        <v>14</v>
      </c>
      <c r="B40" s="40">
        <v>1</v>
      </c>
      <c r="C40" s="40">
        <v>1</v>
      </c>
      <c r="D40" s="40">
        <v>0</v>
      </c>
      <c r="E40" s="40">
        <v>1</v>
      </c>
      <c r="F40" s="40">
        <v>1</v>
      </c>
    </row>
    <row r="41" spans="1:7" ht="18" customHeight="1">
      <c r="A41" s="39">
        <v>15</v>
      </c>
      <c r="B41" s="40">
        <v>1</v>
      </c>
      <c r="C41" s="40">
        <v>1</v>
      </c>
      <c r="D41" s="40">
        <v>2</v>
      </c>
      <c r="E41" s="40">
        <v>1</v>
      </c>
      <c r="F41" s="40">
        <v>1</v>
      </c>
    </row>
    <row r="42" spans="1:7" ht="18" customHeight="1">
      <c r="A42" s="39">
        <v>16</v>
      </c>
      <c r="B42" s="40">
        <v>0</v>
      </c>
      <c r="C42" s="40">
        <v>1</v>
      </c>
      <c r="D42" s="40">
        <v>1</v>
      </c>
      <c r="E42" s="40">
        <v>1</v>
      </c>
      <c r="F42" s="40">
        <v>0</v>
      </c>
    </row>
    <row r="43" spans="1:7" ht="18" customHeight="1">
      <c r="A43" s="39">
        <v>17</v>
      </c>
      <c r="B43" s="40">
        <v>2</v>
      </c>
      <c r="C43" s="40">
        <v>1</v>
      </c>
      <c r="D43" s="40">
        <v>1</v>
      </c>
      <c r="E43" s="40">
        <v>1</v>
      </c>
      <c r="F43" s="40">
        <v>2</v>
      </c>
    </row>
    <row r="44" spans="1:7" ht="18" customHeight="1">
      <c r="A44" s="39">
        <v>18</v>
      </c>
      <c r="B44" s="40">
        <v>0</v>
      </c>
      <c r="C44" s="40">
        <v>1</v>
      </c>
      <c r="D44" s="40">
        <v>2</v>
      </c>
      <c r="E44" s="40">
        <v>2</v>
      </c>
      <c r="F44" s="40">
        <v>2</v>
      </c>
    </row>
    <row r="45" spans="1:7" ht="18" customHeight="1">
      <c r="A45" s="39">
        <v>19</v>
      </c>
      <c r="B45" s="40">
        <v>2</v>
      </c>
      <c r="C45" s="40">
        <v>1</v>
      </c>
      <c r="D45" s="40">
        <v>0</v>
      </c>
      <c r="E45" s="40">
        <v>0</v>
      </c>
      <c r="F45" s="40">
        <v>0</v>
      </c>
    </row>
    <row r="46" spans="1:7" ht="18" customHeight="1">
      <c r="A46" s="39">
        <v>20</v>
      </c>
      <c r="B46" s="40">
        <v>0</v>
      </c>
      <c r="C46" s="40">
        <v>2</v>
      </c>
      <c r="D46" s="40">
        <v>0</v>
      </c>
      <c r="E46" s="40">
        <v>2</v>
      </c>
      <c r="F46" s="40">
        <v>0</v>
      </c>
    </row>
    <row r="47" spans="1:7" ht="18" customHeight="1">
      <c r="A47" s="39"/>
      <c r="B47" s="40"/>
      <c r="C47" s="40"/>
      <c r="D47" s="40"/>
      <c r="E47" s="40"/>
      <c r="F47" s="40"/>
    </row>
    <row r="48" spans="1:7" ht="18" customHeight="1">
      <c r="A48" s="39"/>
      <c r="B48" s="40"/>
      <c r="C48" s="40"/>
      <c r="D48" s="40"/>
      <c r="E48" s="40"/>
      <c r="F48" s="40"/>
    </row>
    <row r="49" spans="1:6" ht="18" customHeight="1">
      <c r="A49" s="39"/>
      <c r="B49" s="40"/>
      <c r="C49" s="40"/>
      <c r="D49" s="40"/>
      <c r="E49" s="40"/>
      <c r="F49" s="40"/>
    </row>
    <row r="50" spans="1:6" ht="18" customHeight="1">
      <c r="A50" s="39"/>
      <c r="B50" s="40"/>
      <c r="C50" s="40"/>
      <c r="D50" s="40"/>
      <c r="E50" s="40"/>
      <c r="F50" s="40"/>
    </row>
    <row r="51" spans="1:6" ht="18" customHeight="1">
      <c r="A51" s="39"/>
      <c r="B51" s="40"/>
      <c r="C51" s="40"/>
      <c r="D51" s="40"/>
      <c r="E51" s="40"/>
      <c r="F51" s="40"/>
    </row>
    <row r="52" spans="1:6" ht="18" customHeight="1"/>
  </sheetData>
  <mergeCells count="1">
    <mergeCell ref="H6:H7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S23"/>
  <sheetViews>
    <sheetView zoomScale="90" zoomScaleNormal="90" workbookViewId="0">
      <selection activeCell="D3" sqref="D3"/>
    </sheetView>
  </sheetViews>
  <sheetFormatPr defaultColWidth="8.7109375" defaultRowHeight="14.45"/>
  <cols>
    <col min="1" max="1" width="13.5703125" customWidth="1"/>
    <col min="2" max="2" width="20.42578125" customWidth="1"/>
    <col min="3" max="3" width="11.42578125" style="18" customWidth="1"/>
    <col min="4" max="4" width="13.5703125" style="4" customWidth="1"/>
    <col min="5" max="5" width="22.7109375" style="4" customWidth="1"/>
    <col min="6" max="6" width="15.85546875" style="4" customWidth="1"/>
    <col min="7" max="7" width="13.5703125" style="4" customWidth="1"/>
    <col min="8" max="8" width="22.42578125" style="4" customWidth="1"/>
    <col min="9" max="9" width="12.5703125" style="25" customWidth="1"/>
    <col min="10" max="10" width="13.5703125" customWidth="1"/>
    <col min="11" max="11" width="17.140625" customWidth="1"/>
    <col min="12" max="12" width="11.7109375" customWidth="1"/>
    <col min="13" max="13" width="12.28515625" customWidth="1"/>
  </cols>
  <sheetData>
    <row r="1" spans="2:14" ht="18.75" customHeight="1"/>
    <row r="2" spans="2:14" ht="18.75" customHeight="1">
      <c r="B2" s="22"/>
      <c r="C2" s="26"/>
      <c r="D2" s="7"/>
      <c r="E2" s="7"/>
      <c r="F2" s="7"/>
      <c r="G2" s="7"/>
      <c r="H2" s="27" t="s">
        <v>47</v>
      </c>
      <c r="I2" s="28"/>
      <c r="J2" s="7"/>
      <c r="K2" s="7"/>
      <c r="L2" s="7" t="s">
        <v>48</v>
      </c>
      <c r="M2" s="7"/>
    </row>
    <row r="3" spans="2:14" ht="18.75" customHeight="1">
      <c r="B3" s="22"/>
      <c r="C3" s="26"/>
      <c r="D3" s="7" t="s">
        <v>17</v>
      </c>
      <c r="E3" s="7"/>
      <c r="F3" s="7"/>
      <c r="G3" s="7"/>
      <c r="H3" s="28" t="s">
        <v>49</v>
      </c>
      <c r="I3" s="46">
        <v>3.06643</v>
      </c>
      <c r="J3" s="7"/>
      <c r="K3" s="7"/>
      <c r="L3" s="50" t="s">
        <v>50</v>
      </c>
      <c r="M3" s="50" t="s">
        <v>51</v>
      </c>
      <c r="N3" s="51" t="s">
        <v>52</v>
      </c>
    </row>
    <row r="4" spans="2:14" ht="18.75" customHeight="1">
      <c r="B4" s="29" t="s">
        <v>53</v>
      </c>
      <c r="C4" s="30">
        <v>20</v>
      </c>
      <c r="D4" s="7"/>
      <c r="E4" s="7"/>
      <c r="F4" s="7"/>
      <c r="G4" s="7"/>
      <c r="H4" s="28"/>
      <c r="I4" s="31"/>
      <c r="J4" s="7"/>
      <c r="K4" s="7"/>
      <c r="L4" s="55" t="s">
        <v>54</v>
      </c>
      <c r="M4" s="59">
        <v>67.388800000000003</v>
      </c>
      <c r="N4" s="52"/>
    </row>
    <row r="5" spans="2:14" ht="18.75" customHeight="1">
      <c r="B5" s="7"/>
      <c r="C5" s="12"/>
      <c r="D5" s="7"/>
      <c r="E5" s="7"/>
      <c r="F5" s="7"/>
      <c r="G5" s="7"/>
      <c r="H5" s="7"/>
      <c r="I5" s="7"/>
      <c r="J5" s="7"/>
      <c r="K5" s="7"/>
      <c r="L5" s="56" t="s">
        <v>55</v>
      </c>
      <c r="M5" s="60">
        <v>17.778300000000002</v>
      </c>
      <c r="N5" s="53"/>
    </row>
    <row r="6" spans="2:14" ht="18.75" customHeight="1">
      <c r="B6" s="65" t="s">
        <v>56</v>
      </c>
      <c r="C6" s="62">
        <v>57.717199999999998</v>
      </c>
      <c r="D6" s="7"/>
      <c r="E6" s="7" t="s">
        <v>57</v>
      </c>
      <c r="F6" s="24">
        <v>22000</v>
      </c>
      <c r="G6" s="7"/>
      <c r="H6" s="48" t="s">
        <v>58</v>
      </c>
      <c r="I6" s="49"/>
      <c r="J6" s="7"/>
      <c r="K6" s="7"/>
      <c r="L6" s="57" t="s">
        <v>59</v>
      </c>
      <c r="M6" s="60">
        <v>7.2106000000000003</v>
      </c>
      <c r="N6" s="53"/>
    </row>
    <row r="7" spans="2:14" ht="18.75" customHeight="1">
      <c r="B7" s="66" t="s">
        <v>60</v>
      </c>
      <c r="C7" s="63">
        <v>37.429400000000001</v>
      </c>
      <c r="D7" s="7"/>
      <c r="E7" s="7" t="s">
        <v>61</v>
      </c>
      <c r="F7" s="2">
        <v>12</v>
      </c>
      <c r="G7" s="7"/>
      <c r="H7" s="28" t="s">
        <v>62</v>
      </c>
      <c r="I7" s="46">
        <v>69.841099999999997</v>
      </c>
      <c r="J7" s="7"/>
      <c r="K7" s="7"/>
      <c r="L7" s="57" t="s">
        <v>63</v>
      </c>
      <c r="M7" s="60">
        <v>2.8828999999999998</v>
      </c>
      <c r="N7" s="53"/>
    </row>
    <row r="8" spans="2:14" ht="18.75" customHeight="1">
      <c r="B8" s="66"/>
      <c r="C8" s="64"/>
      <c r="D8" s="7"/>
      <c r="E8" s="7" t="s">
        <v>64</v>
      </c>
      <c r="F8" s="32">
        <v>1000000000</v>
      </c>
      <c r="G8" s="7"/>
      <c r="H8" s="28" t="s">
        <v>65</v>
      </c>
      <c r="I8" s="46">
        <v>2.0260899999999999</v>
      </c>
      <c r="J8" s="7"/>
      <c r="K8" s="7"/>
      <c r="L8" s="57" t="s">
        <v>66</v>
      </c>
      <c r="M8" s="60">
        <v>1.1048</v>
      </c>
      <c r="N8" s="53"/>
    </row>
    <row r="9" spans="2:14" ht="18.75" customHeight="1">
      <c r="B9" s="67" t="s">
        <v>67</v>
      </c>
      <c r="C9" s="68">
        <f>SUM(C6:C7)</f>
        <v>95.146600000000007</v>
      </c>
      <c r="D9" s="7"/>
      <c r="E9" s="7"/>
      <c r="F9" s="7"/>
      <c r="G9" s="7"/>
      <c r="H9" s="28"/>
      <c r="I9" s="46"/>
      <c r="J9" s="7"/>
      <c r="K9" s="7"/>
      <c r="L9" s="57" t="s">
        <v>68</v>
      </c>
      <c r="M9" s="60">
        <v>1.7417</v>
      </c>
      <c r="N9" s="53"/>
    </row>
    <row r="10" spans="2:14" ht="18.75" customHeight="1">
      <c r="B10" s="7"/>
      <c r="C10" s="15"/>
      <c r="D10" s="7"/>
      <c r="E10" s="7"/>
      <c r="F10" s="7"/>
      <c r="G10" s="7"/>
      <c r="H10" s="28" t="s">
        <v>69</v>
      </c>
      <c r="I10" s="46">
        <v>12.247</v>
      </c>
      <c r="J10" s="7"/>
      <c r="K10" s="7"/>
      <c r="L10" s="57" t="s">
        <v>70</v>
      </c>
      <c r="M10" s="60">
        <v>0.88380000000000003</v>
      </c>
      <c r="N10" s="53"/>
    </row>
    <row r="11" spans="2:14" ht="18.75" customHeight="1">
      <c r="D11" s="7"/>
      <c r="E11" s="7"/>
      <c r="F11" s="7"/>
      <c r="G11" s="7"/>
      <c r="H11" s="28" t="s">
        <v>71</v>
      </c>
      <c r="I11" s="47" t="s">
        <v>72</v>
      </c>
      <c r="J11" s="7"/>
      <c r="K11" s="7"/>
      <c r="L11" s="56" t="s">
        <v>73</v>
      </c>
      <c r="M11" s="60">
        <v>0.70679999999999998</v>
      </c>
      <c r="N11" s="53"/>
    </row>
    <row r="12" spans="2:14" ht="18.75" customHeight="1">
      <c r="D12" s="7"/>
      <c r="E12" s="7"/>
      <c r="F12" s="7"/>
      <c r="G12" s="7"/>
      <c r="H12" s="28" t="s">
        <v>74</v>
      </c>
      <c r="I12" s="46">
        <v>54.504800000000003</v>
      </c>
      <c r="J12" s="7"/>
      <c r="K12" s="7"/>
      <c r="L12" s="56" t="s">
        <v>75</v>
      </c>
      <c r="M12" s="60">
        <v>0.25750000000000001</v>
      </c>
      <c r="N12" s="53"/>
    </row>
    <row r="13" spans="2:14" ht="18.75" customHeight="1">
      <c r="D13" s="7"/>
      <c r="E13" s="7"/>
      <c r="F13" s="7"/>
      <c r="G13" s="7"/>
      <c r="J13" s="7"/>
      <c r="K13" s="7"/>
      <c r="L13" s="56" t="s">
        <v>76</v>
      </c>
      <c r="M13" s="60">
        <v>4.02E-2</v>
      </c>
      <c r="N13" s="53"/>
    </row>
    <row r="14" spans="2:14" ht="18.75" customHeight="1">
      <c r="D14" s="7"/>
      <c r="E14" s="7"/>
      <c r="F14" s="7"/>
      <c r="G14" s="7"/>
      <c r="H14" s="48" t="s">
        <v>77</v>
      </c>
      <c r="I14" s="49"/>
      <c r="J14" s="7"/>
      <c r="K14" s="7"/>
      <c r="L14" s="56" t="s">
        <v>78</v>
      </c>
      <c r="M14" s="60">
        <v>1.5E-3</v>
      </c>
      <c r="N14" s="53"/>
    </row>
    <row r="15" spans="2:14" ht="18.75" customHeight="1">
      <c r="H15" s="28" t="s">
        <v>79</v>
      </c>
      <c r="I15" s="87" t="s">
        <v>80</v>
      </c>
      <c r="L15" s="56" t="s">
        <v>81</v>
      </c>
      <c r="M15" s="60">
        <v>1E-4</v>
      </c>
      <c r="N15" s="53"/>
    </row>
    <row r="16" spans="2:14" ht="18.75" customHeight="1">
      <c r="H16" s="28"/>
      <c r="I16" s="46"/>
      <c r="L16" s="56" t="s">
        <v>82</v>
      </c>
      <c r="M16" s="60"/>
      <c r="N16" s="53">
        <v>5</v>
      </c>
    </row>
    <row r="17" spans="4:19" ht="18.75" customHeight="1">
      <c r="D17" s="7"/>
      <c r="E17" s="7"/>
      <c r="F17" s="7"/>
      <c r="G17" s="7"/>
      <c r="L17" s="56" t="s">
        <v>83</v>
      </c>
      <c r="M17" s="53">
        <v>3.0999999999999999E-3</v>
      </c>
      <c r="N17" s="46"/>
    </row>
    <row r="18" spans="4:19" ht="18.75" customHeight="1">
      <c r="D18" s="7"/>
      <c r="H18" s="4" t="s">
        <v>84</v>
      </c>
      <c r="L18" s="58"/>
      <c r="M18" s="61"/>
      <c r="N18" s="54"/>
      <c r="S18" t="s">
        <v>85</v>
      </c>
    </row>
    <row r="19" spans="4:19" ht="18.75" customHeight="1">
      <c r="D19" s="7"/>
    </row>
    <row r="23" spans="4:19">
      <c r="H23" s="4" t="s">
        <v>86</v>
      </c>
    </row>
  </sheetData>
  <phoneticPr fontId="12" type="noConversion"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M76"/>
  <sheetViews>
    <sheetView topLeftCell="A24" zoomScaleNormal="100" workbookViewId="0">
      <selection activeCell="A3" sqref="A3:E52"/>
    </sheetView>
  </sheetViews>
  <sheetFormatPr defaultColWidth="8.7109375" defaultRowHeight="14.45"/>
  <cols>
    <col min="1" max="3" width="8.7109375" style="1"/>
    <col min="5" max="7" width="8.7109375" style="2"/>
    <col min="16" max="16" width="10.140625" customWidth="1"/>
    <col min="17" max="17" width="11" customWidth="1"/>
    <col min="18" max="18" width="8.28515625" customWidth="1"/>
    <col min="19" max="19" width="8.42578125" customWidth="1"/>
    <col min="23" max="23" width="12.5703125" customWidth="1"/>
    <col min="24" max="24" width="10.140625" bestFit="1" customWidth="1"/>
    <col min="25" max="25" width="11.5703125" bestFit="1" customWidth="1"/>
    <col min="26" max="26" width="12" bestFit="1" customWidth="1"/>
    <col min="37" max="37" width="9.42578125" bestFit="1" customWidth="1"/>
    <col min="38" max="39" width="9.7109375" bestFit="1" customWidth="1"/>
  </cols>
  <sheetData>
    <row r="1" spans="1:39">
      <c r="A1" s="34"/>
      <c r="B1" s="35" t="s">
        <v>87</v>
      </c>
      <c r="C1" s="35"/>
      <c r="D1" s="34"/>
      <c r="E1" s="34"/>
      <c r="F1" s="34"/>
      <c r="G1" s="34"/>
      <c r="H1" s="34"/>
      <c r="I1" s="34"/>
      <c r="J1" s="34"/>
      <c r="K1" s="34"/>
      <c r="L1" s="34"/>
      <c r="M1" s="34"/>
      <c r="N1" s="35"/>
      <c r="AC1" t="s">
        <v>88</v>
      </c>
    </row>
    <row r="2" spans="1:39">
      <c r="A2" s="36" t="s">
        <v>42</v>
      </c>
      <c r="B2" s="36" t="s">
        <v>43</v>
      </c>
      <c r="C2" s="36" t="s">
        <v>44</v>
      </c>
      <c r="D2" s="36" t="s">
        <v>45</v>
      </c>
      <c r="E2" s="36" t="s">
        <v>46</v>
      </c>
      <c r="F2" s="34"/>
      <c r="G2" s="34"/>
      <c r="H2" s="34"/>
      <c r="I2" s="34"/>
    </row>
    <row r="3" spans="1:39">
      <c r="A3" s="37" t="s">
        <v>35</v>
      </c>
      <c r="B3" s="37" t="s">
        <v>31</v>
      </c>
      <c r="C3" s="37" t="s">
        <v>33</v>
      </c>
      <c r="D3" s="37" t="s">
        <v>31</v>
      </c>
      <c r="E3" s="37" t="s">
        <v>31</v>
      </c>
      <c r="F3" s="34"/>
      <c r="G3" s="34"/>
      <c r="H3" s="34"/>
      <c r="I3" s="34"/>
      <c r="Q3" t="s">
        <v>53</v>
      </c>
      <c r="R3">
        <v>20</v>
      </c>
    </row>
    <row r="4" spans="1:39">
      <c r="A4" s="37" t="s">
        <v>35</v>
      </c>
      <c r="B4" s="37" t="s">
        <v>31</v>
      </c>
      <c r="C4" s="37" t="s">
        <v>33</v>
      </c>
      <c r="D4" s="37" t="s">
        <v>35</v>
      </c>
      <c r="E4" s="37" t="s">
        <v>31</v>
      </c>
      <c r="F4" s="34"/>
      <c r="G4" s="34"/>
      <c r="H4" s="34"/>
      <c r="I4" s="34"/>
    </row>
    <row r="5" spans="1:39" ht="15">
      <c r="A5" s="37" t="s">
        <v>31</v>
      </c>
      <c r="B5" s="37" t="s">
        <v>31</v>
      </c>
      <c r="C5" s="37" t="s">
        <v>23</v>
      </c>
      <c r="D5" s="37" t="s">
        <v>31</v>
      </c>
      <c r="E5" s="37" t="s">
        <v>31</v>
      </c>
      <c r="F5" s="34"/>
      <c r="G5" s="34"/>
      <c r="H5" s="34"/>
      <c r="I5" s="34"/>
      <c r="O5" s="72" t="s">
        <v>89</v>
      </c>
      <c r="P5" s="72" t="s">
        <v>90</v>
      </c>
      <c r="Q5" s="72" t="s">
        <v>91</v>
      </c>
      <c r="R5" s="72" t="s">
        <v>42</v>
      </c>
      <c r="S5" s="72" t="s">
        <v>43</v>
      </c>
      <c r="T5" s="72" t="s">
        <v>44</v>
      </c>
      <c r="U5" s="72" t="s">
        <v>45</v>
      </c>
      <c r="V5" s="72" t="s">
        <v>46</v>
      </c>
      <c r="W5" s="72"/>
      <c r="X5" s="72" t="s">
        <v>92</v>
      </c>
      <c r="Y5" s="72" t="s">
        <v>93</v>
      </c>
      <c r="AA5" s="72" t="s">
        <v>89</v>
      </c>
      <c r="AB5" s="72" t="s">
        <v>94</v>
      </c>
      <c r="AC5" s="72" t="s">
        <v>90</v>
      </c>
      <c r="AD5" s="72" t="s">
        <v>91</v>
      </c>
      <c r="AE5" s="72" t="s">
        <v>42</v>
      </c>
      <c r="AF5" s="72" t="s">
        <v>43</v>
      </c>
      <c r="AG5" s="72" t="s">
        <v>44</v>
      </c>
      <c r="AH5" s="72" t="s">
        <v>45</v>
      </c>
      <c r="AI5" s="72" t="s">
        <v>46</v>
      </c>
      <c r="AJ5" s="72"/>
      <c r="AK5" s="72" t="s">
        <v>92</v>
      </c>
      <c r="AL5" s="72" t="s">
        <v>93</v>
      </c>
    </row>
    <row r="6" spans="1:39" ht="15">
      <c r="A6" s="37" t="s">
        <v>23</v>
      </c>
      <c r="B6" s="37" t="s">
        <v>23</v>
      </c>
      <c r="C6" s="37" t="s">
        <v>31</v>
      </c>
      <c r="D6" s="37" t="s">
        <v>31</v>
      </c>
      <c r="E6" s="37" t="s">
        <v>25</v>
      </c>
      <c r="F6" s="34"/>
      <c r="G6" s="34"/>
      <c r="H6" s="34"/>
      <c r="I6" s="34"/>
      <c r="O6" s="73" t="s">
        <v>23</v>
      </c>
      <c r="P6" s="73">
        <v>5</v>
      </c>
      <c r="Q6" s="20">
        <f>'Game Description'!E15</f>
        <v>200</v>
      </c>
      <c r="R6" s="74">
        <f>INDEX($H$11:$L$19,MATCH($O6,$G$11:$G$18,0),MATCH(R$5,$H$10:$L$10,0))+H$19</f>
        <v>5</v>
      </c>
      <c r="S6" s="74">
        <f>INDEX($H$11:$L$19,MATCH($O6,$G$11:$G$18,0),MATCH(S$5,$H$10:$L$10,0))+I$19</f>
        <v>6</v>
      </c>
      <c r="T6" s="74">
        <f>INDEX($H$11:$L$19,MATCH($O6,$G$11:$G$18,0),MATCH(T$5,$H$10:$L$10,0))+J$19</f>
        <v>8</v>
      </c>
      <c r="U6" s="74">
        <f>INDEX($H$11:$L$19,MATCH($O6,$G$11:$G$18,0),MATCH(U$5,$H$10:$L$10,0))+K$19</f>
        <v>6</v>
      </c>
      <c r="V6" s="74">
        <f>INDEX($H$11:$L$19,MATCH($O6,$G$11:$G$18,0),MATCH(V$5,$H$10:$L$10,0))+L$19</f>
        <v>6</v>
      </c>
      <c r="W6" s="74">
        <f>X6*Q6</f>
        <v>1705600</v>
      </c>
      <c r="X6" s="74">
        <f>PRODUCT(R6:V6)-AK6-AK8-AK27</f>
        <v>8528</v>
      </c>
      <c r="Y6" s="75">
        <f>(X6/$X$43)*Q6</f>
        <v>5.4579199999999998E-3</v>
      </c>
      <c r="AA6" s="73" t="s">
        <v>37</v>
      </c>
      <c r="AB6" s="73" t="s">
        <v>23</v>
      </c>
      <c r="AC6" s="73">
        <v>4</v>
      </c>
      <c r="AD6" s="20">
        <f>'Game Description'!$D$22</f>
        <v>400</v>
      </c>
      <c r="AE6" s="74">
        <f>INDEX($H$11:$L$19,MATCH($AA6,$G$11:$G$19,0),MATCH(R$5,$H$10:$L$10,0))</f>
        <v>1</v>
      </c>
      <c r="AF6" s="74">
        <f>INDEX($H$11:$L$19,MATCH($AA6,$G$11:$G$19,0),MATCH(S$5,$H$10:$L$10,0))</f>
        <v>2</v>
      </c>
      <c r="AG6" s="74">
        <f>INDEX($H$11:$L$19,MATCH($AA6,$G$11:$G$19,0),MATCH(T$5,$H$10:$L$10,0))</f>
        <v>2</v>
      </c>
      <c r="AH6" s="74">
        <f>INDEX($H$11:$L$19,MATCH($AA6,$G$11:$G$19,0),MATCH(U$5,$H$10:$L$10,0))</f>
        <v>2</v>
      </c>
      <c r="AI6" s="74">
        <f>INDEX($H$11:$L$19,MATCH("AA",$G$11:$G$19,0),MATCH(AI$5,$H$10:$L$10,0))</f>
        <v>4</v>
      </c>
      <c r="AJ6" s="74">
        <f>AL6*$X$43</f>
        <v>12800</v>
      </c>
      <c r="AK6" s="74">
        <f t="shared" ref="AK6:AK26" si="0">PRODUCT(AE6:AI6)</f>
        <v>32</v>
      </c>
      <c r="AL6" s="75">
        <f>IF(AD6&gt;Q6,AD6,Q6)*(AK6/$X$43)</f>
        <v>4.0960000000000001E-5</v>
      </c>
    </row>
    <row r="7" spans="1:39" ht="15">
      <c r="A7" s="37" t="s">
        <v>25</v>
      </c>
      <c r="B7" s="37" t="s">
        <v>23</v>
      </c>
      <c r="C7" s="37" t="s">
        <v>35</v>
      </c>
      <c r="D7" s="37" t="s">
        <v>40</v>
      </c>
      <c r="E7" s="37" t="s">
        <v>31</v>
      </c>
      <c r="F7" s="34"/>
      <c r="G7" s="34"/>
      <c r="H7" s="34"/>
      <c r="I7" s="34"/>
      <c r="O7" s="73" t="s">
        <v>23</v>
      </c>
      <c r="P7" s="73">
        <v>4</v>
      </c>
      <c r="Q7" s="20">
        <f>'Game Description'!D15</f>
        <v>100</v>
      </c>
      <c r="R7" s="74">
        <f>INDEX($H$11:$L$19,MATCH($O7,$G$11:$G$18,0),MATCH(R$5,$H$10:$L$10,0))+H$19</f>
        <v>5</v>
      </c>
      <c r="S7" s="74">
        <f>INDEX($H$11:$L$19,MATCH($O7,$G$11:$G$18,0),MATCH(S$5,$H$10:$L$10,0))+I$19</f>
        <v>6</v>
      </c>
      <c r="T7" s="74">
        <f>INDEX($H$11:$L$19,MATCH($O7,$G$11:$G$18,0),MATCH(T$5,$H$10:$L$10,0))+J$19</f>
        <v>8</v>
      </c>
      <c r="U7" s="74">
        <f>INDEX($H$11:$L$19,MATCH($O7,$G$11:$G$18,0),MATCH(U$5,$H$10:$L$10,0))+K$19</f>
        <v>6</v>
      </c>
      <c r="V7" s="74">
        <f>L$20-(L$19+INDEX($H$11:$L$19,MATCH($O7,$G$11:$G$17,0),MATCH(V$5,$H$10:$L$10,0)))</f>
        <v>44</v>
      </c>
      <c r="W7" s="74">
        <f t="shared" ref="W7:W42" si="1">X7*Q7</f>
        <v>6230400</v>
      </c>
      <c r="X7" s="74">
        <f>PRODUCT(R7:V7)-PRODUCT($H$19:$K$19)*$V7-$AK7</f>
        <v>62304</v>
      </c>
      <c r="Y7" s="75">
        <f>(X7/$X$43)*Q7</f>
        <v>1.9937279999999998E-2</v>
      </c>
      <c r="AA7" s="73" t="s">
        <v>37</v>
      </c>
      <c r="AB7" s="73" t="s">
        <v>23</v>
      </c>
      <c r="AC7" s="73">
        <v>3</v>
      </c>
      <c r="AD7" s="20">
        <f>'Game Description'!$C$22</f>
        <v>40</v>
      </c>
      <c r="AE7" s="74">
        <f>INDEX($H$11:$L$19,MATCH($AA7,$G$11:$G$19,0),MATCH(R$5,$H$10:$L$10,0))</f>
        <v>1</v>
      </c>
      <c r="AF7" s="74">
        <f>INDEX($H$11:$L$19,MATCH($AA7,$G$11:$G$19,0),MATCH(S$5,$H$10:$L$10,0))</f>
        <v>2</v>
      </c>
      <c r="AG7" s="74">
        <f>INDEX($H$11:$L$19,MATCH($AA7,$G$11:$G$19,0),MATCH(T$5,$H$10:$L$10,0))</f>
        <v>2</v>
      </c>
      <c r="AH7" s="74">
        <f>INDEX($H$11:$L$19,MATCH("AA",$G$11:$G$19,0),MATCH(AH$5,$H$10:$L$10,0))</f>
        <v>4</v>
      </c>
      <c r="AI7" s="74">
        <f>$L$20-L$19-L11</f>
        <v>44</v>
      </c>
      <c r="AJ7" s="74">
        <f t="shared" ref="AJ7:AJ29" si="2">AL7*$X$43</f>
        <v>70400</v>
      </c>
      <c r="AK7" s="74">
        <f>PRODUCT(AE7:AI7)</f>
        <v>704</v>
      </c>
      <c r="AL7" s="75">
        <f>IF(AD7&gt;Q7,AD7,Q7)*(AK7/$X$43)</f>
        <v>2.2527999999999998E-4</v>
      </c>
    </row>
    <row r="8" spans="1:39" ht="15">
      <c r="A8" s="37" t="s">
        <v>25</v>
      </c>
      <c r="B8" s="37" t="s">
        <v>35</v>
      </c>
      <c r="C8" s="37" t="s">
        <v>40</v>
      </c>
      <c r="D8" s="37" t="s">
        <v>25</v>
      </c>
      <c r="E8" s="37" t="s">
        <v>27</v>
      </c>
      <c r="F8" s="34"/>
      <c r="G8" s="34"/>
      <c r="H8" s="34"/>
      <c r="I8" s="34"/>
      <c r="O8" s="73" t="s">
        <v>23</v>
      </c>
      <c r="P8" s="73">
        <v>3</v>
      </c>
      <c r="Q8" s="20">
        <f>'Game Description'!C15</f>
        <v>20</v>
      </c>
      <c r="R8" s="74">
        <f>INDEX($H$11:$L$19,MATCH($O8,$G$11:$G$18,0),MATCH(R$5,$H$10:$L$10,0))+H$19</f>
        <v>5</v>
      </c>
      <c r="S8" s="74">
        <f>INDEX($H$11:$L$19,MATCH($O8,$G$11:$G$18,0),MATCH(S$5,$H$10:$L$10,0))+I$19</f>
        <v>6</v>
      </c>
      <c r="T8" s="74">
        <f>INDEX($H$11:$L$19,MATCH($O8,$G$11:$G$18,0),MATCH(T$5,$H$10:$L$10,0))+J$19</f>
        <v>8</v>
      </c>
      <c r="U8" s="74">
        <f>K$20-(K$19+INDEX($H$11:$L$19,MATCH($O8,$G$11:$G$18,0),MATCH(U$5,$H$10:$L$10,0)))</f>
        <v>44</v>
      </c>
      <c r="V8" s="74">
        <f>$L$20</f>
        <v>50</v>
      </c>
      <c r="W8" s="74">
        <f t="shared" si="1"/>
        <v>10384000</v>
      </c>
      <c r="X8" s="74">
        <f>PRODUCT(R8:V8)- PRODUCT($H$19:$J$19)*U8*V8</f>
        <v>519200</v>
      </c>
      <c r="Y8" s="75">
        <f>(X8/$X$43)*Q8</f>
        <v>3.3228799999999996E-2</v>
      </c>
      <c r="AA8" s="73" t="s">
        <v>37</v>
      </c>
      <c r="AB8" s="73" t="s">
        <v>23</v>
      </c>
      <c r="AC8" s="73">
        <v>3</v>
      </c>
      <c r="AD8" s="20">
        <f>'Game Description'!$C$22</f>
        <v>40</v>
      </c>
      <c r="AE8" s="74">
        <f>INDEX($H$11:$L$19,MATCH($AA8,$G$11:$G$19,0),MATCH(R$5,$H$10:$L$10,0))</f>
        <v>1</v>
      </c>
      <c r="AF8" s="74">
        <f>INDEX($H$11:$L$19,MATCH($AA8,$G$11:$G$19,0),MATCH(S$5,$H$10:$L$10,0))</f>
        <v>2</v>
      </c>
      <c r="AG8" s="74">
        <f>INDEX($H$11:$L$19,MATCH($AA8,$G$11:$G$19,0),MATCH(T$5,$H$10:$L$10,0))</f>
        <v>2</v>
      </c>
      <c r="AH8" s="74">
        <f>INDEX($H$11:$L$19,MATCH("AA",$G$11:$G$19,0),MATCH(AH$5,$H$10:$L$10,0))</f>
        <v>4</v>
      </c>
      <c r="AI8" s="74">
        <f>L11</f>
        <v>4</v>
      </c>
      <c r="AJ8" s="74">
        <f t="shared" si="2"/>
        <v>12800</v>
      </c>
      <c r="AK8" s="74">
        <f>PRODUCT(AE8:AI8)</f>
        <v>64</v>
      </c>
      <c r="AL8" s="75">
        <f>IF(AD8&gt;Q6,AD8,Q6)*(AK8/$X$43)</f>
        <v>4.0960000000000001E-5</v>
      </c>
      <c r="AM8" s="78"/>
    </row>
    <row r="9" spans="1:39" ht="15">
      <c r="A9" s="37" t="s">
        <v>31</v>
      </c>
      <c r="B9" s="37" t="s">
        <v>27</v>
      </c>
      <c r="C9" s="37" t="s">
        <v>25</v>
      </c>
      <c r="D9" s="37" t="s">
        <v>31</v>
      </c>
      <c r="E9" s="37" t="s">
        <v>33</v>
      </c>
      <c r="F9" s="34"/>
      <c r="G9" s="34" t="s">
        <v>95</v>
      </c>
      <c r="H9" s="34"/>
      <c r="I9" s="34"/>
      <c r="J9" s="34"/>
      <c r="K9" s="34"/>
      <c r="O9" s="73" t="s">
        <v>25</v>
      </c>
      <c r="P9" s="73">
        <v>5</v>
      </c>
      <c r="Q9" s="20">
        <f>'Game Description'!E16</f>
        <v>200</v>
      </c>
      <c r="R9" s="74">
        <f>INDEX($H$11:$L$19,MATCH($O9,$G$11:$G$18,0),MATCH(R$5,$H$10:$L$10,0))+H$19</f>
        <v>6</v>
      </c>
      <c r="S9" s="74">
        <f>INDEX($H$11:$L$19,MATCH($O9,$G$11:$G$18,0),MATCH(S$5,$H$10:$L$10,0))+I$19</f>
        <v>7</v>
      </c>
      <c r="T9" s="74">
        <f>INDEX($H$11:$L$19,MATCH($O9,$G$11:$G$18,0),MATCH(T$5,$H$10:$L$10,0))+J$19</f>
        <v>6</v>
      </c>
      <c r="U9" s="74">
        <f>INDEX($H$11:$L$19,MATCH($O9,$G$11:$G$18,0),MATCH(U$5,$H$10:$L$10,0))+K$19</f>
        <v>5</v>
      </c>
      <c r="V9" s="74">
        <f>INDEX($H$11:$L$19,MATCH($O9,$G$11:$G$18,0),MATCH(V$5,$H$10:$L$10,0))+L$19</f>
        <v>6</v>
      </c>
      <c r="W9" s="74">
        <f t="shared" si="1"/>
        <v>1492800</v>
      </c>
      <c r="X9" s="74">
        <f>PRODUCT(R9:V9)-AK9-AK11-AK27</f>
        <v>7464</v>
      </c>
      <c r="Y9" s="75">
        <f>(X9/$X$43)*Q9</f>
        <v>4.7769599999999994E-3</v>
      </c>
      <c r="Z9" s="78">
        <f>SUM(Y6:Y8)</f>
        <v>5.8623999999999996E-2</v>
      </c>
      <c r="AA9" s="73" t="s">
        <v>37</v>
      </c>
      <c r="AB9" s="73" t="s">
        <v>25</v>
      </c>
      <c r="AC9" s="73">
        <v>4</v>
      </c>
      <c r="AD9" s="20">
        <f>'Game Description'!$D$22</f>
        <v>400</v>
      </c>
      <c r="AE9" s="74">
        <f>INDEX($H$11:$L$19,MATCH($AA9,$G$11:$G$19,0),MATCH(R$5,$H$10:$L$10,0))</f>
        <v>1</v>
      </c>
      <c r="AF9" s="74">
        <f>INDEX($H$11:$L$19,MATCH($AA9,$G$11:$G$19,0),MATCH(S$5,$H$10:$L$10,0))</f>
        <v>2</v>
      </c>
      <c r="AG9" s="74">
        <f>INDEX($H$11:$L$19,MATCH($AA9,$G$11:$G$19,0),MATCH(T$5,$H$10:$L$10,0))</f>
        <v>2</v>
      </c>
      <c r="AH9" s="74">
        <f>INDEX($H$11:$L$19,MATCH($AA9,$G$11:$G$19,0),MATCH(U$5,$H$10:$L$10,0))</f>
        <v>2</v>
      </c>
      <c r="AI9" s="74">
        <f>INDEX($H$11:$L$19,MATCH("BB",$G$11:$G$19,0),MATCH(AI$5,$H$10:$L$10,0))</f>
        <v>4</v>
      </c>
      <c r="AJ9" s="74">
        <f t="shared" si="2"/>
        <v>12800</v>
      </c>
      <c r="AK9" s="74">
        <f t="shared" si="0"/>
        <v>32</v>
      </c>
      <c r="AL9" s="75">
        <f>IF(AD9&gt;Q9,AD9,Q9)*(AK9/$X$43)</f>
        <v>4.0960000000000001E-5</v>
      </c>
    </row>
    <row r="10" spans="1:39" ht="15">
      <c r="A10" s="37" t="s">
        <v>23</v>
      </c>
      <c r="B10" s="37" t="s">
        <v>31</v>
      </c>
      <c r="C10" s="37" t="s">
        <v>33</v>
      </c>
      <c r="D10" s="37" t="s">
        <v>29</v>
      </c>
      <c r="E10" s="37" t="s">
        <v>31</v>
      </c>
      <c r="F10" s="34"/>
      <c r="G10" s="33" t="s">
        <v>89</v>
      </c>
      <c r="H10" s="33" t="s">
        <v>42</v>
      </c>
      <c r="I10" s="33" t="s">
        <v>43</v>
      </c>
      <c r="J10" s="33" t="s">
        <v>44</v>
      </c>
      <c r="K10" s="33" t="s">
        <v>45</v>
      </c>
      <c r="L10" s="33" t="s">
        <v>46</v>
      </c>
      <c r="M10" s="86"/>
      <c r="O10" s="73" t="s">
        <v>25</v>
      </c>
      <c r="P10" s="73">
        <v>4</v>
      </c>
      <c r="Q10" s="20">
        <f>'Game Description'!D16</f>
        <v>100</v>
      </c>
      <c r="R10" s="74">
        <f>INDEX($H$11:$L$19,MATCH($O10,$G$11:$G$18,0),MATCH(R$5,$H$10:$L$10,0))+H$19</f>
        <v>6</v>
      </c>
      <c r="S10" s="74">
        <f>INDEX($H$11:$L$19,MATCH($O10,$G$11:$G$18,0),MATCH(S$5,$H$10:$L$10,0))+I$19</f>
        <v>7</v>
      </c>
      <c r="T10" s="74">
        <f>INDEX($H$11:$L$19,MATCH($O10,$G$11:$G$18,0),MATCH(T$5,$H$10:$L$10,0))+J$19</f>
        <v>6</v>
      </c>
      <c r="U10" s="74">
        <f>INDEX($H$11:$L$19,MATCH($O10,$G$11:$G$18,0),MATCH(U$5,$H$10:$L$10,0))+K$19</f>
        <v>5</v>
      </c>
      <c r="V10" s="74">
        <f>L$20-(L$19+INDEX($H$11:$L$19,MATCH($O10,$G$11:$G$17,0),MATCH(V$5,$H$10:$L$10,0)))</f>
        <v>44</v>
      </c>
      <c r="W10" s="74">
        <f t="shared" si="1"/>
        <v>5456000</v>
      </c>
      <c r="X10" s="74">
        <f>PRODUCT(R10:V10)-PRODUCT($H$19:$K$19)*$V10-$AK10</f>
        <v>54560</v>
      </c>
      <c r="Y10" s="75">
        <f>(X10/$X$43)*Q10</f>
        <v>1.7459200000000001E-2</v>
      </c>
      <c r="AA10" s="73" t="s">
        <v>37</v>
      </c>
      <c r="AB10" s="73" t="s">
        <v>25</v>
      </c>
      <c r="AC10" s="73">
        <v>3</v>
      </c>
      <c r="AD10" s="20">
        <f>'Game Description'!$C$22</f>
        <v>40</v>
      </c>
      <c r="AE10" s="74">
        <f>INDEX($H$11:$L$19,MATCH($AA10,$G$11:$G$19,0),MATCH(R$5,$H$10:$L$10,0))</f>
        <v>1</v>
      </c>
      <c r="AF10" s="74">
        <f>INDEX($H$11:$L$19,MATCH($AA10,$G$11:$G$19,0),MATCH(S$5,$H$10:$L$10,0))</f>
        <v>2</v>
      </c>
      <c r="AG10" s="74">
        <f>INDEX($H$11:$L$19,MATCH($AA10,$G$11:$G$19,0),MATCH(T$5,$H$10:$L$10,0))</f>
        <v>2</v>
      </c>
      <c r="AH10" s="74">
        <f>INDEX($H$11:$L$19,MATCH("BB",$G$11:$G$19,0),MATCH(AH$5,$H$10:$L$10,0))</f>
        <v>3</v>
      </c>
      <c r="AI10" s="74">
        <f>$L$20-L$19-L12</f>
        <v>44</v>
      </c>
      <c r="AJ10" s="74">
        <f t="shared" si="2"/>
        <v>52800</v>
      </c>
      <c r="AK10" s="74">
        <f t="shared" si="0"/>
        <v>528</v>
      </c>
      <c r="AL10" s="75">
        <f>IF(AD10&gt;Q10,AD10,Q10)*(AK10/$X$43)</f>
        <v>1.6896000000000001E-4</v>
      </c>
    </row>
    <row r="11" spans="1:39" ht="15">
      <c r="A11" s="37" t="s">
        <v>35</v>
      </c>
      <c r="B11" s="37" t="s">
        <v>40</v>
      </c>
      <c r="C11" s="37" t="s">
        <v>27</v>
      </c>
      <c r="D11" s="37" t="s">
        <v>35</v>
      </c>
      <c r="E11" s="37" t="s">
        <v>40</v>
      </c>
      <c r="F11" s="34"/>
      <c r="G11" s="2" t="s">
        <v>23</v>
      </c>
      <c r="H11">
        <f t="shared" ref="H11:H19" si="3">COUNTIF(A$1:A$899,$G11)</f>
        <v>4</v>
      </c>
      <c r="I11">
        <f t="shared" ref="I11:I19" si="4">COUNTIF(B$1:B$899,$G11)</f>
        <v>4</v>
      </c>
      <c r="J11">
        <f t="shared" ref="J11:J19" si="5">COUNTIF(C$1:C$899,$G11)</f>
        <v>6</v>
      </c>
      <c r="K11">
        <f t="shared" ref="K11:K19" si="6">COUNTIF(D$1:D$899,$G11)</f>
        <v>4</v>
      </c>
      <c r="L11">
        <f t="shared" ref="L11:L19" si="7">COUNTIF(E$1:E$899,$G11)</f>
        <v>4</v>
      </c>
      <c r="O11" s="73" t="s">
        <v>25</v>
      </c>
      <c r="P11" s="73">
        <v>3</v>
      </c>
      <c r="Q11" s="20">
        <f>'Game Description'!C16</f>
        <v>20</v>
      </c>
      <c r="R11" s="74">
        <f>INDEX($H$11:$L$19,MATCH($O11,$G$11:$G$18,0),MATCH(R$5,$H$10:$L$10,0))+H$19</f>
        <v>6</v>
      </c>
      <c r="S11" s="74">
        <f>INDEX($H$11:$L$19,MATCH($O11,$G$11:$G$18,0),MATCH(S$5,$H$10:$L$10,0))+I$19</f>
        <v>7</v>
      </c>
      <c r="T11" s="74">
        <f>INDEX($H$11:$L$19,MATCH($O11,$G$11:$G$18,0),MATCH(T$5,$H$10:$L$10,0))+J$19</f>
        <v>6</v>
      </c>
      <c r="U11" s="74">
        <f>K$20-(K$19+INDEX($H$11:$L$19,MATCH($O11,$G$11:$G$18,0),MATCH(U$5,$H$10:$L$10,0)))</f>
        <v>45</v>
      </c>
      <c r="V11" s="74">
        <f t="shared" ref="V11" si="8">$L$20</f>
        <v>50</v>
      </c>
      <c r="W11" s="74">
        <f t="shared" si="1"/>
        <v>11160000</v>
      </c>
      <c r="X11" s="74">
        <f>PRODUCT(R11:V11)- PRODUCT($H$19:$J$19)*U11*V11</f>
        <v>558000</v>
      </c>
      <c r="Y11" s="80">
        <f>X11/$X$43*Q11</f>
        <v>3.5712000000000001E-2</v>
      </c>
      <c r="AA11" s="73" t="s">
        <v>37</v>
      </c>
      <c r="AB11" s="73" t="s">
        <v>25</v>
      </c>
      <c r="AC11" s="73">
        <v>3</v>
      </c>
      <c r="AD11" s="20">
        <f>'Game Description'!$C$22</f>
        <v>40</v>
      </c>
      <c r="AE11" s="74">
        <f>INDEX($H$11:$L$19,MATCH($AA11,$G$11:$G$19,0),MATCH(R$5,$H$10:$L$10,0))</f>
        <v>1</v>
      </c>
      <c r="AF11" s="74">
        <f>INDEX($H$11:$L$19,MATCH($AA11,$G$11:$G$19,0),MATCH(S$5,$H$10:$L$10,0))</f>
        <v>2</v>
      </c>
      <c r="AG11" s="74">
        <f>INDEX($H$11:$L$19,MATCH($AA11,$G$11:$G$19,0),MATCH(T$5,$H$10:$L$10,0))</f>
        <v>2</v>
      </c>
      <c r="AH11" s="74">
        <f>INDEX($H$11:$L$19,MATCH("BB",$G$11:$G$19,0),MATCH(AH$5,$H$10:$L$10,0))</f>
        <v>3</v>
      </c>
      <c r="AI11" s="74">
        <f>L12</f>
        <v>4</v>
      </c>
      <c r="AJ11" s="74">
        <f t="shared" si="2"/>
        <v>9600</v>
      </c>
      <c r="AK11" s="74">
        <f t="shared" si="0"/>
        <v>48</v>
      </c>
      <c r="AL11" s="75">
        <f>IF(AD11&gt;Q9,AD11,Q9)*(AK11/$X$43)</f>
        <v>3.0719999999999997E-5</v>
      </c>
      <c r="AM11" s="79"/>
    </row>
    <row r="12" spans="1:39" ht="15">
      <c r="A12" s="37" t="s">
        <v>29</v>
      </c>
      <c r="B12" s="37" t="s">
        <v>23</v>
      </c>
      <c r="C12" s="37" t="s">
        <v>23</v>
      </c>
      <c r="D12" s="37" t="s">
        <v>27</v>
      </c>
      <c r="E12" s="37" t="s">
        <v>35</v>
      </c>
      <c r="F12" s="34"/>
      <c r="G12" s="2" t="s">
        <v>25</v>
      </c>
      <c r="H12">
        <f t="shared" si="3"/>
        <v>5</v>
      </c>
      <c r="I12">
        <f t="shared" si="4"/>
        <v>5</v>
      </c>
      <c r="J12">
        <f t="shared" si="5"/>
        <v>4</v>
      </c>
      <c r="K12">
        <f t="shared" si="6"/>
        <v>3</v>
      </c>
      <c r="L12">
        <f t="shared" si="7"/>
        <v>4</v>
      </c>
      <c r="O12" s="73" t="s">
        <v>27</v>
      </c>
      <c r="P12" s="73">
        <v>5</v>
      </c>
      <c r="Q12" s="20">
        <f>'Game Description'!E17</f>
        <v>200</v>
      </c>
      <c r="R12" s="74">
        <f>INDEX($H$11:$L$19,MATCH($O12,$G$11:$G$18,0),MATCH(R$5,$H$10:$L$10,0))+H$19</f>
        <v>5</v>
      </c>
      <c r="S12" s="74">
        <f>INDEX($H$11:$L$19,MATCH($O12,$G$11:$G$18,0),MATCH(S$5,$H$10:$L$10,0))+I$19</f>
        <v>7</v>
      </c>
      <c r="T12" s="74">
        <f>INDEX($H$11:$L$19,MATCH($O12,$G$11:$G$18,0),MATCH(T$5,$H$10:$L$10,0))+J$19</f>
        <v>5</v>
      </c>
      <c r="U12" s="74">
        <f>INDEX($H$11:$L$19,MATCH($O12,$G$11:$G$18,0),MATCH(U$5,$H$10:$L$10,0))+K$19</f>
        <v>6</v>
      </c>
      <c r="V12" s="74">
        <f>INDEX($H$11:$L$19,MATCH($O12,$G$11:$G$18,0),MATCH(V$5,$H$10:$L$10,0))+L$19</f>
        <v>7</v>
      </c>
      <c r="W12" s="74">
        <f t="shared" si="1"/>
        <v>1442800</v>
      </c>
      <c r="X12" s="74">
        <f>PRODUCT(R12:V12)-AK12-AK14-AK27</f>
        <v>7214</v>
      </c>
      <c r="Y12" s="75">
        <f>(X12/$X$43)*Q12</f>
        <v>4.6169599999999998E-3</v>
      </c>
      <c r="Z12" s="84">
        <f>SUM(Y9:Y11)</f>
        <v>5.7948159999999999E-2</v>
      </c>
      <c r="AA12" s="73" t="s">
        <v>37</v>
      </c>
      <c r="AB12" s="73" t="s">
        <v>27</v>
      </c>
      <c r="AC12" s="73">
        <v>4</v>
      </c>
      <c r="AD12" s="20">
        <f>'Game Description'!$D$22</f>
        <v>400</v>
      </c>
      <c r="AE12" s="74">
        <f>INDEX($H$11:$L$19,MATCH($AA12,$G$11:$G$19,0),MATCH(R$5,$H$10:$L$10,0))</f>
        <v>1</v>
      </c>
      <c r="AF12" s="74">
        <f>INDEX($H$11:$L$19,MATCH($AA12,$G$11:$G$19,0),MATCH(S$5,$H$10:$L$10,0))</f>
        <v>2</v>
      </c>
      <c r="AG12" s="74">
        <f>INDEX($H$11:$L$19,MATCH($AA12,$G$11:$G$19,0),MATCH(T$5,$H$10:$L$10,0))</f>
        <v>2</v>
      </c>
      <c r="AH12" s="74">
        <f>INDEX($H$11:$L$19,MATCH($AA12,$G$11:$G$19,0),MATCH(U$5,$H$10:$L$10,0))</f>
        <v>2</v>
      </c>
      <c r="AI12" s="74">
        <f>INDEX($H$11:$L$19,MATCH("CC",$G$11:$G$19,0),MATCH(AI$5,$H$10:$L$10,0))</f>
        <v>5</v>
      </c>
      <c r="AJ12" s="74">
        <f t="shared" si="2"/>
        <v>16000.000000000002</v>
      </c>
      <c r="AK12" s="74">
        <f t="shared" si="0"/>
        <v>40</v>
      </c>
      <c r="AL12" s="75">
        <f>IF(AD12&gt;Q12,AD12,Q12)*(AK12/$X$43)</f>
        <v>5.1200000000000004E-5</v>
      </c>
    </row>
    <row r="13" spans="1:39" ht="15">
      <c r="A13" s="37" t="s">
        <v>33</v>
      </c>
      <c r="B13" s="37" t="s">
        <v>33</v>
      </c>
      <c r="C13" s="37" t="s">
        <v>23</v>
      </c>
      <c r="D13" s="43" t="s">
        <v>37</v>
      </c>
      <c r="E13" s="37" t="s">
        <v>29</v>
      </c>
      <c r="F13" s="34"/>
      <c r="G13" s="2" t="s">
        <v>27</v>
      </c>
      <c r="H13">
        <f t="shared" si="3"/>
        <v>4</v>
      </c>
      <c r="I13">
        <f t="shared" si="4"/>
        <v>5</v>
      </c>
      <c r="J13">
        <f t="shared" si="5"/>
        <v>3</v>
      </c>
      <c r="K13">
        <f t="shared" si="6"/>
        <v>4</v>
      </c>
      <c r="L13">
        <f t="shared" si="7"/>
        <v>5</v>
      </c>
      <c r="N13" s="34"/>
      <c r="O13" s="73" t="s">
        <v>27</v>
      </c>
      <c r="P13" s="73">
        <v>4</v>
      </c>
      <c r="Q13" s="20">
        <f>'Game Description'!D17</f>
        <v>100</v>
      </c>
      <c r="R13" s="74">
        <f>INDEX($H$11:$L$19,MATCH($O13,$G$11:$G$18,0),MATCH(R$5,$H$10:$L$10,0))+H$19</f>
        <v>5</v>
      </c>
      <c r="S13" s="74">
        <f>INDEX($H$11:$L$19,MATCH($O13,$G$11:$G$18,0),MATCH(S$5,$H$10:$L$10,0))+I$19</f>
        <v>7</v>
      </c>
      <c r="T13" s="74">
        <f>INDEX($H$11:$L$19,MATCH($O13,$G$11:$G$18,0),MATCH(T$5,$H$10:$L$10,0))+J$19</f>
        <v>5</v>
      </c>
      <c r="U13" s="74">
        <f>INDEX($H$11:$L$19,MATCH($O13,$G$11:$G$18,0),MATCH(U$5,$H$10:$L$10,0))+K$19</f>
        <v>6</v>
      </c>
      <c r="V13" s="74">
        <f>L$20-(L$19+INDEX($H$11:$L$19,MATCH($O13,$G$11:$G$17,0),MATCH(V$5,$H$10:$L$10,0)))</f>
        <v>43</v>
      </c>
      <c r="W13" s="74">
        <f t="shared" si="1"/>
        <v>4411800</v>
      </c>
      <c r="X13" s="74">
        <f>PRODUCT(R13:V13)-PRODUCT($H$19:$K$19)*$V13-$AK13</f>
        <v>44118</v>
      </c>
      <c r="Y13" s="75">
        <f>(X13/$X$43)*Q13</f>
        <v>1.411776E-2</v>
      </c>
      <c r="AA13" s="73" t="s">
        <v>37</v>
      </c>
      <c r="AB13" s="73" t="s">
        <v>27</v>
      </c>
      <c r="AC13" s="73">
        <v>3</v>
      </c>
      <c r="AD13" s="20">
        <f>'Game Description'!$C$22</f>
        <v>40</v>
      </c>
      <c r="AE13" s="74">
        <f>INDEX($H$11:$L$19,MATCH($AA13,$G$11:$G$19,0),MATCH(R$5,$H$10:$L$10,0))</f>
        <v>1</v>
      </c>
      <c r="AF13" s="74">
        <f>INDEX($H$11:$L$19,MATCH($AA13,$G$11:$G$19,0),MATCH(S$5,$H$10:$L$10,0))</f>
        <v>2</v>
      </c>
      <c r="AG13" s="74">
        <f>INDEX($H$11:$L$19,MATCH($AA13,$G$11:$G$19,0),MATCH(T$5,$H$10:$L$10,0))</f>
        <v>2</v>
      </c>
      <c r="AH13" s="74">
        <f>INDEX($H$11:$L$19,MATCH("CC",$G$11:$G$19,0),MATCH(AH$5,$H$10:$L$10,0))</f>
        <v>4</v>
      </c>
      <c r="AI13" s="74">
        <f>$L$20-L$19-L13</f>
        <v>43</v>
      </c>
      <c r="AJ13" s="74">
        <f t="shared" si="2"/>
        <v>68800</v>
      </c>
      <c r="AK13" s="74">
        <f t="shared" si="0"/>
        <v>688</v>
      </c>
      <c r="AL13" s="75">
        <f>IF(AD13&gt;Q13,AD13,Q13)*(AK13/$X$43)</f>
        <v>2.2015999999999998E-4</v>
      </c>
    </row>
    <row r="14" spans="1:39" ht="15">
      <c r="A14" s="37" t="s">
        <v>25</v>
      </c>
      <c r="B14" s="37" t="s">
        <v>33</v>
      </c>
      <c r="C14" s="37" t="s">
        <v>23</v>
      </c>
      <c r="D14" s="37" t="s">
        <v>35</v>
      </c>
      <c r="E14" s="37" t="s">
        <v>33</v>
      </c>
      <c r="F14" s="34"/>
      <c r="G14" s="2" t="s">
        <v>29</v>
      </c>
      <c r="H14">
        <f t="shared" si="3"/>
        <v>7</v>
      </c>
      <c r="I14">
        <f t="shared" si="4"/>
        <v>6</v>
      </c>
      <c r="J14">
        <f t="shared" si="5"/>
        <v>8</v>
      </c>
      <c r="K14">
        <f t="shared" si="6"/>
        <v>8</v>
      </c>
      <c r="L14">
        <f t="shared" si="7"/>
        <v>7</v>
      </c>
      <c r="O14" s="73" t="s">
        <v>27</v>
      </c>
      <c r="P14" s="73">
        <v>3</v>
      </c>
      <c r="Q14" s="20">
        <f>'Game Description'!C17</f>
        <v>20</v>
      </c>
      <c r="R14" s="74">
        <f>INDEX($H$11:$L$19,MATCH($O14,$G$11:$G$18,0),MATCH(R$5,$H$10:$L$10,0))+H$19</f>
        <v>5</v>
      </c>
      <c r="S14" s="74">
        <f>INDEX($H$11:$L$19,MATCH($O14,$G$11:$G$18,0),MATCH(S$5,$H$10:$L$10,0))+I$19</f>
        <v>7</v>
      </c>
      <c r="T14" s="74">
        <f>INDEX($H$11:$L$19,MATCH($O14,$G$11:$G$18,0),MATCH(T$5,$H$10:$L$10,0))+J$19</f>
        <v>5</v>
      </c>
      <c r="U14" s="74">
        <f>K$20-(K$19+INDEX($H$11:$L$19,MATCH($O14,$G$11:$G$18,0),MATCH(U$5,$H$10:$L$10,0)))</f>
        <v>44</v>
      </c>
      <c r="V14" s="74">
        <f t="shared" ref="V14" si="9">$L$20</f>
        <v>50</v>
      </c>
      <c r="W14" s="74">
        <f t="shared" si="1"/>
        <v>7524000</v>
      </c>
      <c r="X14" s="74">
        <f>PRODUCT(R14:V14)- PRODUCT($H$19:$J$19)*U14*V14</f>
        <v>376200</v>
      </c>
      <c r="Y14" s="75">
        <f>(X14/$X$43)*Q14</f>
        <v>2.4076800000000002E-2</v>
      </c>
      <c r="AA14" s="73" t="s">
        <v>37</v>
      </c>
      <c r="AB14" s="73" t="s">
        <v>27</v>
      </c>
      <c r="AC14" s="73">
        <v>3</v>
      </c>
      <c r="AD14" s="20">
        <f>'Game Description'!$C$22</f>
        <v>40</v>
      </c>
      <c r="AE14" s="74">
        <f>INDEX($H$11:$L$19,MATCH($AA14,$G$11:$G$19,0),MATCH(R$5,$H$10:$L$10,0))</f>
        <v>1</v>
      </c>
      <c r="AF14" s="74">
        <f>INDEX($H$11:$L$19,MATCH($AA14,$G$11:$G$19,0),MATCH(S$5,$H$10:$L$10,0))</f>
        <v>2</v>
      </c>
      <c r="AG14" s="74">
        <f>INDEX($H$11:$L$19,MATCH($AA14,$G$11:$G$19,0),MATCH(T$5,$H$10:$L$10,0))</f>
        <v>2</v>
      </c>
      <c r="AH14" s="74">
        <f>INDEX($H$11:$L$19,MATCH("CC",$G$11:$G$19,0),MATCH(AH$5,$H$10:$L$10,0))</f>
        <v>4</v>
      </c>
      <c r="AI14" s="74">
        <f>L13</f>
        <v>5</v>
      </c>
      <c r="AJ14" s="74">
        <f t="shared" si="2"/>
        <v>16000.000000000002</v>
      </c>
      <c r="AK14" s="74">
        <f t="shared" si="0"/>
        <v>80</v>
      </c>
      <c r="AL14" s="75">
        <f>IF(AD14&gt;Q12,AD14,Q12)*(AK14/$X$43)</f>
        <v>5.1200000000000004E-5</v>
      </c>
      <c r="AM14" s="78"/>
    </row>
    <row r="15" spans="1:39" ht="15">
      <c r="A15" s="37" t="s">
        <v>40</v>
      </c>
      <c r="B15" s="37" t="s">
        <v>35</v>
      </c>
      <c r="C15" s="37" t="s">
        <v>25</v>
      </c>
      <c r="D15" s="37" t="s">
        <v>35</v>
      </c>
      <c r="E15" s="37" t="s">
        <v>35</v>
      </c>
      <c r="F15" s="34"/>
      <c r="G15" s="2" t="s">
        <v>31</v>
      </c>
      <c r="H15">
        <f t="shared" si="3"/>
        <v>7</v>
      </c>
      <c r="I15">
        <f t="shared" si="4"/>
        <v>7</v>
      </c>
      <c r="J15">
        <f t="shared" si="5"/>
        <v>6</v>
      </c>
      <c r="K15">
        <f t="shared" si="6"/>
        <v>8</v>
      </c>
      <c r="L15">
        <f t="shared" si="7"/>
        <v>8</v>
      </c>
      <c r="M15" s="34"/>
      <c r="N15" s="34"/>
      <c r="O15" s="73" t="s">
        <v>29</v>
      </c>
      <c r="P15" s="73">
        <v>5</v>
      </c>
      <c r="Q15" s="20">
        <f>'Game Description'!E18</f>
        <v>100</v>
      </c>
      <c r="R15" s="74">
        <f>INDEX($H$11:$L$19,MATCH($O15,$G$11:$G$18,0),MATCH(R$5,$H$10:$L$10,0))+H$19</f>
        <v>8</v>
      </c>
      <c r="S15" s="74">
        <f>INDEX($H$11:$L$19,MATCH($O15,$G$11:$G$18,0),MATCH(S$5,$H$10:$L$10,0))+I$19</f>
        <v>8</v>
      </c>
      <c r="T15" s="74">
        <f>INDEX($H$11:$L$19,MATCH($O15,$G$11:$G$18,0),MATCH(T$5,$H$10:$L$10,0))+J$19</f>
        <v>10</v>
      </c>
      <c r="U15" s="74">
        <f>INDEX($H$11:$L$19,MATCH($O15,$G$11:$G$18,0),MATCH(U$5,$H$10:$L$10,0))+K$19</f>
        <v>10</v>
      </c>
      <c r="V15" s="74">
        <f>INDEX($H$11:$L$19,MATCH($O15,$G$11:$G$18,0),MATCH(V$5,$H$10:$L$10,0))+L$19</f>
        <v>9</v>
      </c>
      <c r="W15" s="74">
        <f t="shared" si="1"/>
        <v>5730400</v>
      </c>
      <c r="X15" s="74">
        <f>PRODUCT(R15:V15)-AK15-AK17-AK27</f>
        <v>57304</v>
      </c>
      <c r="Y15" s="75">
        <f>(X15/$X$43)*Q15</f>
        <v>1.8337280000000001E-2</v>
      </c>
      <c r="Z15" s="78">
        <f t="shared" ref="Z15" si="10">SUM(Y12:Y14)</f>
        <v>4.2811520000000006E-2</v>
      </c>
      <c r="AA15" s="73" t="s">
        <v>37</v>
      </c>
      <c r="AB15" s="73" t="s">
        <v>29</v>
      </c>
      <c r="AC15" s="73">
        <v>4</v>
      </c>
      <c r="AD15" s="20">
        <f>'Game Description'!$D$22</f>
        <v>400</v>
      </c>
      <c r="AE15" s="74">
        <f>INDEX($H$11:$L$19,MATCH($AA15,$G$11:$G$19,0),MATCH(R$5,$H$10:$L$10,0))</f>
        <v>1</v>
      </c>
      <c r="AF15" s="74">
        <f>INDEX($H$11:$L$19,MATCH($AA15,$G$11:$G$19,0),MATCH(S$5,$H$10:$L$10,0))</f>
        <v>2</v>
      </c>
      <c r="AG15" s="74">
        <f>INDEX($H$11:$L$19,MATCH($AA15,$G$11:$G$19,0),MATCH(T$5,$H$10:$L$10,0))</f>
        <v>2</v>
      </c>
      <c r="AH15" s="74">
        <f>INDEX($H$11:$L$19,MATCH($AA15,$G$11:$G$19,0),MATCH(U$5,$H$10:$L$10,0))</f>
        <v>2</v>
      </c>
      <c r="AI15" s="74">
        <f>INDEX($H$11:$L$19,MATCH("DD",$G$11:$G$19,0),MATCH(AI$5,$H$10:$L$10,0))</f>
        <v>7</v>
      </c>
      <c r="AJ15" s="74">
        <f t="shared" si="2"/>
        <v>22399.999999999996</v>
      </c>
      <c r="AK15" s="74">
        <f t="shared" si="0"/>
        <v>56</v>
      </c>
      <c r="AL15" s="75">
        <f>IF(AD15&gt;Q15,AD15,Q15)*(AK15/$X$43)</f>
        <v>7.1679999999999991E-5</v>
      </c>
    </row>
    <row r="16" spans="1:39" ht="15">
      <c r="A16" s="37" t="s">
        <v>29</v>
      </c>
      <c r="B16" s="37" t="s">
        <v>35</v>
      </c>
      <c r="C16" s="37" t="s">
        <v>27</v>
      </c>
      <c r="D16" s="37" t="s">
        <v>31</v>
      </c>
      <c r="E16" s="37" t="s">
        <v>37</v>
      </c>
      <c r="F16" s="34"/>
      <c r="G16" s="2" t="s">
        <v>33</v>
      </c>
      <c r="H16">
        <f t="shared" si="3"/>
        <v>10</v>
      </c>
      <c r="I16">
        <f t="shared" si="4"/>
        <v>8</v>
      </c>
      <c r="J16">
        <f t="shared" si="5"/>
        <v>10</v>
      </c>
      <c r="K16">
        <f t="shared" si="6"/>
        <v>10</v>
      </c>
      <c r="L16">
        <f t="shared" si="7"/>
        <v>10</v>
      </c>
      <c r="O16" s="73" t="s">
        <v>29</v>
      </c>
      <c r="P16" s="73">
        <v>4</v>
      </c>
      <c r="Q16" s="20">
        <f>'Game Description'!D18</f>
        <v>20</v>
      </c>
      <c r="R16" s="74">
        <f>INDEX($H$11:$L$19,MATCH($O16,$G$11:$G$18,0),MATCH(R$5,$H$10:$L$10,0))+H$19</f>
        <v>8</v>
      </c>
      <c r="S16" s="74">
        <f>INDEX($H$11:$L$19,MATCH($O16,$G$11:$G$18,0),MATCH(S$5,$H$10:$L$10,0))+I$19</f>
        <v>8</v>
      </c>
      <c r="T16" s="74">
        <f>INDEX($H$11:$L$19,MATCH($O16,$G$11:$G$18,0),MATCH(T$5,$H$10:$L$10,0))+J$19</f>
        <v>10</v>
      </c>
      <c r="U16" s="74">
        <f>INDEX($H$11:$L$19,MATCH($O16,$G$11:$G$18,0),MATCH(U$5,$H$10:$L$10,0))+K$19</f>
        <v>10</v>
      </c>
      <c r="V16" s="74">
        <f>L$20-(L$19+INDEX($H$11:$L$19,MATCH($O16,$G$11:$G$17,0),MATCH(V$5,$H$10:$L$10,0)))</f>
        <v>41</v>
      </c>
      <c r="W16" s="74">
        <f t="shared" si="1"/>
        <v>5215200</v>
      </c>
      <c r="X16" s="74">
        <f>PRODUCT(R16:V16)-PRODUCT($H$19:$K$19)*$V16-$AK16</f>
        <v>260760</v>
      </c>
      <c r="Y16" s="75">
        <f>(X16/$X$43)*Q16</f>
        <v>1.6688639999999998E-2</v>
      </c>
      <c r="AA16" s="73" t="s">
        <v>37</v>
      </c>
      <c r="AB16" s="73" t="s">
        <v>29</v>
      </c>
      <c r="AC16" s="73">
        <v>3</v>
      </c>
      <c r="AD16" s="20">
        <f>'Game Description'!$C$22</f>
        <v>40</v>
      </c>
      <c r="AE16" s="74">
        <f>INDEX($H$11:$L$19,MATCH($AA16,$G$11:$G$19,0),MATCH(R$5,$H$10:$L$10,0))</f>
        <v>1</v>
      </c>
      <c r="AF16" s="74">
        <f>INDEX($H$11:$L$19,MATCH($AA16,$G$11:$G$19,0),MATCH(S$5,$H$10:$L$10,0))</f>
        <v>2</v>
      </c>
      <c r="AG16" s="74">
        <f>INDEX($H$11:$L$19,MATCH($AA16,$G$11:$G$19,0),MATCH(T$5,$H$10:$L$10,0))</f>
        <v>2</v>
      </c>
      <c r="AH16" s="74">
        <f>INDEX($H$11:$L$19,MATCH("DD",$G$11:$G$19,0),MATCH(AH$5,$H$10:$L$10,0))</f>
        <v>8</v>
      </c>
      <c r="AI16" s="74">
        <f>$L$20-L$19-L14</f>
        <v>41</v>
      </c>
      <c r="AJ16" s="74">
        <f t="shared" si="2"/>
        <v>52480.000000000007</v>
      </c>
      <c r="AK16" s="74">
        <f t="shared" si="0"/>
        <v>1312</v>
      </c>
      <c r="AL16" s="75">
        <f>IF(AD16&gt;Q16,AD16,Q16)*(AK16/$X$43)</f>
        <v>1.6793600000000001E-4</v>
      </c>
    </row>
    <row r="17" spans="1:39" ht="15">
      <c r="A17" s="37" t="s">
        <v>29</v>
      </c>
      <c r="B17" s="37" t="s">
        <v>27</v>
      </c>
      <c r="C17" s="37" t="s">
        <v>23</v>
      </c>
      <c r="D17" s="37" t="s">
        <v>35</v>
      </c>
      <c r="E17" s="37" t="s">
        <v>29</v>
      </c>
      <c r="F17" s="34"/>
      <c r="G17" s="41" t="s">
        <v>35</v>
      </c>
      <c r="H17">
        <f t="shared" si="3"/>
        <v>10</v>
      </c>
      <c r="I17">
        <f t="shared" si="4"/>
        <v>11</v>
      </c>
      <c r="J17">
        <f t="shared" si="5"/>
        <v>9</v>
      </c>
      <c r="K17">
        <f t="shared" si="6"/>
        <v>9</v>
      </c>
      <c r="L17">
        <f t="shared" si="7"/>
        <v>8</v>
      </c>
      <c r="O17" s="73" t="s">
        <v>29</v>
      </c>
      <c r="P17" s="73">
        <v>3</v>
      </c>
      <c r="Q17" s="20">
        <f>'Game Description'!C18</f>
        <v>5</v>
      </c>
      <c r="R17" s="74">
        <f>INDEX($H$11:$L$19,MATCH($O17,$G$11:$G$18,0),MATCH(R$5,$H$10:$L$10,0))+H$19</f>
        <v>8</v>
      </c>
      <c r="S17" s="74">
        <f>INDEX($H$11:$L$19,MATCH($O17,$G$11:$G$18,0),MATCH(S$5,$H$10:$L$10,0))+I$19</f>
        <v>8</v>
      </c>
      <c r="T17" s="74">
        <f>INDEX($H$11:$L$19,MATCH($O17,$G$11:$G$18,0),MATCH(T$5,$H$10:$L$10,0))+J$19</f>
        <v>10</v>
      </c>
      <c r="U17" s="74">
        <f>K$20-(K$19+INDEX($H$11:$L$19,MATCH($O17,$G$11:$G$18,0),MATCH(U$5,$H$10:$L$10,0)))</f>
        <v>40</v>
      </c>
      <c r="V17" s="74">
        <f t="shared" ref="V17" si="11">$L$20</f>
        <v>50</v>
      </c>
      <c r="W17" s="74">
        <f t="shared" si="1"/>
        <v>6360000</v>
      </c>
      <c r="X17" s="74">
        <f>PRODUCT(R17:V17)- PRODUCT($H$19:$J$19)*U17*V17</f>
        <v>1272000</v>
      </c>
      <c r="Y17" s="75">
        <f>(X17/$X$43)*Q17</f>
        <v>2.0352000000000002E-2</v>
      </c>
      <c r="AA17" s="73" t="s">
        <v>37</v>
      </c>
      <c r="AB17" s="73" t="s">
        <v>29</v>
      </c>
      <c r="AC17" s="73">
        <v>3</v>
      </c>
      <c r="AD17" s="20">
        <f>'Game Description'!$C$22</f>
        <v>40</v>
      </c>
      <c r="AE17" s="74">
        <f>INDEX($H$11:$L$19,MATCH($AA17,$G$11:$G$19,0),MATCH(R$5,$H$10:$L$10,0))</f>
        <v>1</v>
      </c>
      <c r="AF17" s="74">
        <f>INDEX($H$11:$L$19,MATCH($AA17,$G$11:$G$19,0),MATCH(S$5,$H$10:$L$10,0))</f>
        <v>2</v>
      </c>
      <c r="AG17" s="74">
        <f>INDEX($H$11:$L$19,MATCH($AA17,$G$11:$G$19,0),MATCH(T$5,$H$10:$L$10,0))</f>
        <v>2</v>
      </c>
      <c r="AH17" s="74">
        <f>INDEX($H$11:$L$19,MATCH("DD",$G$11:$G$19,0),MATCH(AH$5,$H$10:$L$10,0))</f>
        <v>8</v>
      </c>
      <c r="AI17" s="74">
        <f>L14</f>
        <v>7</v>
      </c>
      <c r="AJ17" s="74">
        <f t="shared" si="2"/>
        <v>22399.999999999996</v>
      </c>
      <c r="AK17" s="74">
        <f t="shared" si="0"/>
        <v>224</v>
      </c>
      <c r="AL17" s="75">
        <f>IF(AD17&gt;Q15,AD17,Q15)*(AK17/$X$43)</f>
        <v>7.1679999999999991E-5</v>
      </c>
      <c r="AM17" s="78"/>
    </row>
    <row r="18" spans="1:39" ht="15">
      <c r="A18" s="37" t="s">
        <v>23</v>
      </c>
      <c r="B18" s="37" t="s">
        <v>29</v>
      </c>
      <c r="C18" s="37" t="s">
        <v>25</v>
      </c>
      <c r="D18" s="37" t="s">
        <v>33</v>
      </c>
      <c r="E18" s="37" t="s">
        <v>23</v>
      </c>
      <c r="F18" s="34"/>
      <c r="G18" s="45" t="s">
        <v>40</v>
      </c>
      <c r="H18">
        <f t="shared" si="3"/>
        <v>2</v>
      </c>
      <c r="I18">
        <f t="shared" si="4"/>
        <v>2</v>
      </c>
      <c r="J18">
        <f t="shared" si="5"/>
        <v>2</v>
      </c>
      <c r="K18">
        <f t="shared" si="6"/>
        <v>2</v>
      </c>
      <c r="L18">
        <f t="shared" si="7"/>
        <v>2</v>
      </c>
      <c r="O18" s="73" t="s">
        <v>31</v>
      </c>
      <c r="P18" s="73">
        <v>5</v>
      </c>
      <c r="Q18" s="20">
        <f>'Game Description'!E19</f>
        <v>100</v>
      </c>
      <c r="R18" s="74">
        <f>INDEX($H$11:$L$19,MATCH($O18,$G$11:$G$18,0),MATCH(R$5,$H$10:$L$10,0))+H$19</f>
        <v>8</v>
      </c>
      <c r="S18" s="74">
        <f>INDEX($H$11:$L$19,MATCH($O18,$G$11:$G$18,0),MATCH(S$5,$H$10:$L$10,0))+I$19</f>
        <v>9</v>
      </c>
      <c r="T18" s="74">
        <f>INDEX($H$11:$L$19,MATCH($O18,$G$11:$G$18,0),MATCH(T$5,$H$10:$L$10,0))+J$19</f>
        <v>8</v>
      </c>
      <c r="U18" s="74">
        <f>INDEX($H$11:$L$19,MATCH($O18,$G$11:$G$18,0),MATCH(U$5,$H$10:$L$10,0))+K$19</f>
        <v>10</v>
      </c>
      <c r="V18" s="74">
        <f>INDEX($H$11:$L$19,MATCH($O18,$G$11:$G$18,0),MATCH(V$5,$H$10:$L$10,0))+L$19</f>
        <v>10</v>
      </c>
      <c r="W18" s="74">
        <f t="shared" si="1"/>
        <v>5726400</v>
      </c>
      <c r="X18" s="74">
        <f>PRODUCT(R18:V18)-AK18-AK20-AK27</f>
        <v>57264</v>
      </c>
      <c r="Y18" s="75">
        <f>(X18/$X$43)*Q18</f>
        <v>1.8324480000000001E-2</v>
      </c>
      <c r="Z18" s="78">
        <f t="shared" ref="Z18" si="12">SUM(Y15:Y17)</f>
        <v>5.5377920000000004E-2</v>
      </c>
      <c r="AA18" s="73" t="s">
        <v>37</v>
      </c>
      <c r="AB18" s="73" t="s">
        <v>31</v>
      </c>
      <c r="AC18" s="73">
        <v>4</v>
      </c>
      <c r="AD18" s="20">
        <f>'Game Description'!$D$22</f>
        <v>400</v>
      </c>
      <c r="AE18" s="74">
        <f>INDEX($H$11:$L$19,MATCH($AA18,$G$11:$G$19,0),MATCH(R$5,$H$10:$L$10,0))</f>
        <v>1</v>
      </c>
      <c r="AF18" s="74">
        <f>INDEX($H$11:$L$19,MATCH($AA18,$G$11:$G$19,0),MATCH(S$5,$H$10:$L$10,0))</f>
        <v>2</v>
      </c>
      <c r="AG18" s="74">
        <f>INDEX($H$11:$L$19,MATCH($AA18,$G$11:$G$19,0),MATCH(T$5,$H$10:$L$10,0))</f>
        <v>2</v>
      </c>
      <c r="AH18" s="74">
        <f>INDEX($H$11:$L$19,MATCH($AA18,$G$11:$G$19,0),MATCH(U$5,$H$10:$L$10,0))</f>
        <v>2</v>
      </c>
      <c r="AI18" s="74">
        <f>INDEX($H$11:$L$19,MATCH("EE",$G$11:$G$19,0),MATCH(AI$5,$H$10:$L$10,0))</f>
        <v>8</v>
      </c>
      <c r="AJ18" s="74">
        <f t="shared" si="2"/>
        <v>25600</v>
      </c>
      <c r="AK18" s="74">
        <f t="shared" si="0"/>
        <v>64</v>
      </c>
      <c r="AL18" s="75">
        <f>IF(AD18&gt;Q18,AD18,Q18)*(AK18/$X$43)</f>
        <v>8.1920000000000002E-5</v>
      </c>
    </row>
    <row r="19" spans="1:39" ht="15">
      <c r="A19" s="37" t="s">
        <v>33</v>
      </c>
      <c r="B19" s="37" t="s">
        <v>23</v>
      </c>
      <c r="C19" s="37" t="s">
        <v>35</v>
      </c>
      <c r="D19" s="45" t="s">
        <v>40</v>
      </c>
      <c r="E19" s="37" t="s">
        <v>35</v>
      </c>
      <c r="F19" s="34"/>
      <c r="G19" s="44" t="s">
        <v>37</v>
      </c>
      <c r="H19">
        <f t="shared" si="3"/>
        <v>1</v>
      </c>
      <c r="I19">
        <f t="shared" si="4"/>
        <v>2</v>
      </c>
      <c r="J19">
        <f t="shared" si="5"/>
        <v>2</v>
      </c>
      <c r="K19">
        <f t="shared" si="6"/>
        <v>2</v>
      </c>
      <c r="L19">
        <f t="shared" si="7"/>
        <v>2</v>
      </c>
      <c r="O19" s="73" t="s">
        <v>31</v>
      </c>
      <c r="P19" s="73">
        <v>4</v>
      </c>
      <c r="Q19" s="20">
        <f>'Game Description'!D19</f>
        <v>20</v>
      </c>
      <c r="R19" s="74">
        <f>INDEX($H$11:$L$19,MATCH($O19,$G$11:$G$18,0),MATCH(R$5,$H$10:$L$10,0))+H$19</f>
        <v>8</v>
      </c>
      <c r="S19" s="74">
        <f>INDEX($H$11:$L$19,MATCH($O19,$G$11:$G$18,0),MATCH(S$5,$H$10:$L$10,0))+I$19</f>
        <v>9</v>
      </c>
      <c r="T19" s="74">
        <f>INDEX($H$11:$L$19,MATCH($O19,$G$11:$G$18,0),MATCH(T$5,$H$10:$L$10,0))+J$19</f>
        <v>8</v>
      </c>
      <c r="U19" s="74">
        <f>INDEX($H$11:$L$19,MATCH($O19,$G$11:$G$18,0),MATCH(U$5,$H$10:$L$10,0))+K$19</f>
        <v>10</v>
      </c>
      <c r="V19" s="74">
        <f>L$20-(L$19+INDEX($H$11:$L$19,MATCH($O19,$G$11:$G$17,0),MATCH(V$5,$H$10:$L$10,0)))</f>
        <v>40</v>
      </c>
      <c r="W19" s="74">
        <f t="shared" si="1"/>
        <v>4576000</v>
      </c>
      <c r="X19" s="74">
        <f>PRODUCT(R19:V19)-PRODUCT($H$19:$K$19)*$V19-$AK19</f>
        <v>228800</v>
      </c>
      <c r="Y19" s="75">
        <f>(X19/$X$43)*Q19</f>
        <v>1.46432E-2</v>
      </c>
      <c r="AA19" s="73" t="s">
        <v>37</v>
      </c>
      <c r="AB19" s="73" t="s">
        <v>31</v>
      </c>
      <c r="AC19" s="73">
        <v>3</v>
      </c>
      <c r="AD19" s="20">
        <f>'Game Description'!$C$22</f>
        <v>40</v>
      </c>
      <c r="AE19" s="74">
        <f>INDEX($H$11:$L$19,MATCH($AA19,$G$11:$G$19,0),MATCH(R$5,$H$10:$L$10,0))</f>
        <v>1</v>
      </c>
      <c r="AF19" s="74">
        <f>INDEX($H$11:$L$19,MATCH($AA19,$G$11:$G$19,0),MATCH(S$5,$H$10:$L$10,0))</f>
        <v>2</v>
      </c>
      <c r="AG19" s="74">
        <f>INDEX($H$11:$L$19,MATCH($AA19,$G$11:$G$19,0),MATCH(T$5,$H$10:$L$10,0))</f>
        <v>2</v>
      </c>
      <c r="AH19" s="74">
        <f>INDEX($H$11:$L$19,MATCH("EE",$G$11:$G$19,0),MATCH(AH$5,$H$10:$L$10,0))</f>
        <v>8</v>
      </c>
      <c r="AI19" s="74">
        <f>$L$20-L$19-L15</f>
        <v>40</v>
      </c>
      <c r="AJ19" s="74">
        <f t="shared" si="2"/>
        <v>51200</v>
      </c>
      <c r="AK19" s="74">
        <f t="shared" si="0"/>
        <v>1280</v>
      </c>
      <c r="AL19" s="75">
        <f>IF(AD19&gt;Q19,AD19,Q19)*(AK19/$X$43)</f>
        <v>1.6384E-4</v>
      </c>
    </row>
    <row r="20" spans="1:39" ht="15">
      <c r="A20" s="37" t="s">
        <v>40</v>
      </c>
      <c r="B20" s="37" t="s">
        <v>40</v>
      </c>
      <c r="C20" s="37" t="s">
        <v>31</v>
      </c>
      <c r="D20" s="37" t="s">
        <v>29</v>
      </c>
      <c r="E20" s="37" t="s">
        <v>23</v>
      </c>
      <c r="F20" s="34"/>
      <c r="G20" t="s">
        <v>67</v>
      </c>
      <c r="H20">
        <f>SUM(H11:H19)</f>
        <v>50</v>
      </c>
      <c r="I20">
        <f t="shared" ref="I20:L20" si="13">SUM(I11:I19)</f>
        <v>50</v>
      </c>
      <c r="J20">
        <f t="shared" si="13"/>
        <v>50</v>
      </c>
      <c r="K20">
        <f t="shared" si="13"/>
        <v>50</v>
      </c>
      <c r="L20">
        <f t="shared" si="13"/>
        <v>50</v>
      </c>
      <c r="O20" s="73" t="s">
        <v>31</v>
      </c>
      <c r="P20" s="73">
        <v>3</v>
      </c>
      <c r="Q20" s="20">
        <f>'Game Description'!C19</f>
        <v>5</v>
      </c>
      <c r="R20" s="74">
        <f>INDEX($H$11:$L$19,MATCH($O20,$G$11:$G$18,0),MATCH(R$5,$H$10:$L$10,0))+H$19</f>
        <v>8</v>
      </c>
      <c r="S20" s="74">
        <f>INDEX($H$11:$L$19,MATCH($O20,$G$11:$G$18,0),MATCH(S$5,$H$10:$L$10,0))+I$19</f>
        <v>9</v>
      </c>
      <c r="T20" s="74">
        <f>INDEX($H$11:$L$19,MATCH($O20,$G$11:$G$18,0),MATCH(T$5,$H$10:$L$10,0))+J$19</f>
        <v>8</v>
      </c>
      <c r="U20" s="74">
        <f>K$20-(K$19+INDEX($H$11:$L$19,MATCH($O20,$G$11:$G$18,0),MATCH(U$5,$H$10:$L$10,0)))</f>
        <v>40</v>
      </c>
      <c r="V20" s="74">
        <f t="shared" ref="V20" si="14">$L$20</f>
        <v>50</v>
      </c>
      <c r="W20" s="74">
        <f t="shared" si="1"/>
        <v>5720000</v>
      </c>
      <c r="X20" s="74">
        <f>PRODUCT(R20:V20)- PRODUCT($H$19:$J$19)*U20*V20</f>
        <v>1144000</v>
      </c>
      <c r="Y20" s="75">
        <f>(X20/$X$43)*Q20</f>
        <v>1.8304000000000001E-2</v>
      </c>
      <c r="AA20" s="73" t="s">
        <v>37</v>
      </c>
      <c r="AB20" s="73" t="s">
        <v>31</v>
      </c>
      <c r="AC20" s="73">
        <v>3</v>
      </c>
      <c r="AD20" s="20">
        <f>'Game Description'!$C$22</f>
        <v>40</v>
      </c>
      <c r="AE20" s="74">
        <f>INDEX($H$11:$L$19,MATCH($AA20,$G$11:$G$19,0),MATCH(R$5,$H$10:$L$10,0))</f>
        <v>1</v>
      </c>
      <c r="AF20" s="74">
        <f>INDEX($H$11:$L$19,MATCH($AA20,$G$11:$G$19,0),MATCH(S$5,$H$10:$L$10,0))</f>
        <v>2</v>
      </c>
      <c r="AG20" s="74">
        <f>INDEX($H$11:$L$19,MATCH($AA20,$G$11:$G$19,0),MATCH(T$5,$H$10:$L$10,0))</f>
        <v>2</v>
      </c>
      <c r="AH20" s="74">
        <f>INDEX($H$11:$L$19,MATCH("EE",$G$11:$G$19,0),MATCH(AH$5,$H$10:$L$10,0))</f>
        <v>8</v>
      </c>
      <c r="AI20" s="74">
        <f>L15</f>
        <v>8</v>
      </c>
      <c r="AJ20" s="74">
        <f t="shared" si="2"/>
        <v>25600</v>
      </c>
      <c r="AK20" s="74">
        <f t="shared" si="0"/>
        <v>256</v>
      </c>
      <c r="AL20" s="75">
        <f>IF(AD20&gt;Q18,AD20,Q18)*(AK20/$X$43)</f>
        <v>8.1920000000000002E-5</v>
      </c>
      <c r="AM20" s="78"/>
    </row>
    <row r="21" spans="1:39" ht="15">
      <c r="A21" s="37" t="s">
        <v>33</v>
      </c>
      <c r="B21" s="37" t="s">
        <v>31</v>
      </c>
      <c r="C21" s="37" t="s">
        <v>33</v>
      </c>
      <c r="D21" s="37" t="s">
        <v>29</v>
      </c>
      <c r="E21" s="37" t="s">
        <v>35</v>
      </c>
      <c r="F21" s="34"/>
      <c r="G21"/>
      <c r="O21" s="73" t="s">
        <v>33</v>
      </c>
      <c r="P21" s="73">
        <v>5</v>
      </c>
      <c r="Q21" s="20">
        <f>'Game Description'!E20</f>
        <v>50</v>
      </c>
      <c r="R21" s="74">
        <f>INDEX($H$11:$L$19,MATCH($O21,$G$11:$G$18,0),MATCH(R$5,$H$10:$L$10,0))+H$19</f>
        <v>11</v>
      </c>
      <c r="S21" s="74">
        <f>INDEX($H$11:$L$19,MATCH($O21,$G$11:$G$18,0),MATCH(S$5,$H$10:$L$10,0))+I$19</f>
        <v>10</v>
      </c>
      <c r="T21" s="74">
        <f>INDEX($H$11:$L$19,MATCH($O21,$G$11:$G$18,0),MATCH(T$5,$H$10:$L$10,0))+J$19</f>
        <v>12</v>
      </c>
      <c r="U21" s="74">
        <f>INDEX($H$11:$L$19,MATCH($O21,$G$11:$G$18,0),MATCH(U$5,$H$10:$L$10,0))+K$19</f>
        <v>12</v>
      </c>
      <c r="V21" s="74">
        <f>INDEX($H$11:$L$19,MATCH($O21,$G$11:$G$18,0),MATCH(V$5,$H$10:$L$10,0))+L$19</f>
        <v>12</v>
      </c>
      <c r="W21" s="74">
        <f t="shared" si="1"/>
        <v>9479200</v>
      </c>
      <c r="X21" s="74">
        <f>PRODUCT(R21:V21)-AK21-AK23-AK27</f>
        <v>189584</v>
      </c>
      <c r="Y21" s="75">
        <f>(X21/$X$43)*Q21</f>
        <v>3.0333440000000003E-2</v>
      </c>
      <c r="Z21" s="78">
        <f t="shared" ref="Z21" si="15">SUM(Y18:Y20)</f>
        <v>5.127168E-2</v>
      </c>
      <c r="AA21" s="73" t="s">
        <v>37</v>
      </c>
      <c r="AB21" s="73" t="s">
        <v>33</v>
      </c>
      <c r="AC21" s="73">
        <v>4</v>
      </c>
      <c r="AD21" s="20">
        <f>'Game Description'!$D$22</f>
        <v>400</v>
      </c>
      <c r="AE21" s="74">
        <f>INDEX($H$11:$L$19,MATCH($AA21,$G$11:$G$19,0),MATCH(R$5,$H$10:$L$10,0))</f>
        <v>1</v>
      </c>
      <c r="AF21" s="74">
        <f>INDEX($H$11:$L$19,MATCH($AA21,$G$11:$G$19,0),MATCH(S$5,$H$10:$L$10,0))</f>
        <v>2</v>
      </c>
      <c r="AG21" s="74">
        <f>INDEX($H$11:$L$19,MATCH($AA21,$G$11:$G$19,0),MATCH(T$5,$H$10:$L$10,0))</f>
        <v>2</v>
      </c>
      <c r="AH21" s="74">
        <f>INDEX($H$11:$L$19,MATCH($AA21,$G$11:$G$19,0),MATCH(U$5,$H$10:$L$10,0))</f>
        <v>2</v>
      </c>
      <c r="AI21" s="74">
        <f>INDEX($H$11:$L$19,MATCH("FF",$G$11:$G$19,0),MATCH(AI$5,$H$10:$L$10,0))</f>
        <v>10</v>
      </c>
      <c r="AJ21" s="74">
        <f t="shared" si="2"/>
        <v>32000.000000000004</v>
      </c>
      <c r="AK21" s="74">
        <f t="shared" si="0"/>
        <v>80</v>
      </c>
      <c r="AL21" s="75">
        <f>IF(AD21&gt;Q21,AD21,Q21)*(AK21/$X$43)</f>
        <v>1.0240000000000001E-4</v>
      </c>
    </row>
    <row r="22" spans="1:39" ht="15">
      <c r="A22" s="37" t="s">
        <v>27</v>
      </c>
      <c r="B22" s="37" t="s">
        <v>27</v>
      </c>
      <c r="C22" s="37" t="s">
        <v>25</v>
      </c>
      <c r="D22" s="37" t="s">
        <v>29</v>
      </c>
      <c r="E22" s="37" t="s">
        <v>35</v>
      </c>
      <c r="F22" s="34"/>
      <c r="G22" s="34"/>
      <c r="H22" s="34"/>
      <c r="I22" s="34"/>
      <c r="O22" s="73" t="s">
        <v>33</v>
      </c>
      <c r="P22" s="73">
        <v>4</v>
      </c>
      <c r="Q22" s="20">
        <f>'Game Description'!D20</f>
        <v>10</v>
      </c>
      <c r="R22" s="74">
        <f>INDEX($H$11:$L$19,MATCH($O22,$G$11:$G$18,0),MATCH(R$5,$H$10:$L$10,0))+H$19</f>
        <v>11</v>
      </c>
      <c r="S22" s="74">
        <f>INDEX($H$11:$L$19,MATCH($O22,$G$11:$G$18,0),MATCH(S$5,$H$10:$L$10,0))+I$19</f>
        <v>10</v>
      </c>
      <c r="T22" s="74">
        <f>INDEX($H$11:$L$19,MATCH($O22,$G$11:$G$18,0),MATCH(T$5,$H$10:$L$10,0))+J$19</f>
        <v>12</v>
      </c>
      <c r="U22" s="74">
        <f>INDEX($H$11:$L$19,MATCH($O22,$G$11:$G$18,0),MATCH(U$5,$H$10:$L$10,0))+K$19</f>
        <v>12</v>
      </c>
      <c r="V22" s="74">
        <f>L$20-(L$19+INDEX($H$11:$L$19,MATCH($O22,$G$11:$G$17,0),MATCH(V$5,$H$10:$L$10,0)))</f>
        <v>38</v>
      </c>
      <c r="W22" s="74">
        <f t="shared" si="1"/>
        <v>6000960</v>
      </c>
      <c r="X22" s="74">
        <f>PRODUCT(R22:V22)-PRODUCT($H$19:$K$19)*$V22-$AK22</f>
        <v>600096</v>
      </c>
      <c r="Y22" s="75">
        <f>(X22/$X$43)*Q22</f>
        <v>1.9203072000000002E-2</v>
      </c>
      <c r="AA22" s="73" t="s">
        <v>37</v>
      </c>
      <c r="AB22" s="73" t="s">
        <v>33</v>
      </c>
      <c r="AC22" s="73">
        <v>3</v>
      </c>
      <c r="AD22" s="20">
        <f>'Game Description'!$C$22</f>
        <v>40</v>
      </c>
      <c r="AE22" s="74">
        <f>INDEX($H$11:$L$19,MATCH($AA22,$G$11:$G$19,0),MATCH(R$5,$H$10:$L$10,0))</f>
        <v>1</v>
      </c>
      <c r="AF22" s="74">
        <f>INDEX($H$11:$L$19,MATCH($AA22,$G$11:$G$19,0),MATCH(S$5,$H$10:$L$10,0))</f>
        <v>2</v>
      </c>
      <c r="AG22" s="74">
        <f>INDEX($H$11:$L$19,MATCH($AA22,$G$11:$G$19,0),MATCH(T$5,$H$10:$L$10,0))</f>
        <v>2</v>
      </c>
      <c r="AH22" s="74">
        <f>INDEX($H$11:$L$19,MATCH("FF",$G$11:$G$19,0),MATCH(AH$5,$H$10:$L$10,0))</f>
        <v>10</v>
      </c>
      <c r="AI22" s="74">
        <f>$L$20-L$19-L16</f>
        <v>38</v>
      </c>
      <c r="AJ22" s="74">
        <f t="shared" si="2"/>
        <v>60800</v>
      </c>
      <c r="AK22" s="74">
        <f t="shared" si="0"/>
        <v>1520</v>
      </c>
      <c r="AL22" s="75">
        <f>IF(AD22&gt;Q22,AD22,Q22)*(AK22/$X$43)</f>
        <v>1.9456000000000001E-4</v>
      </c>
    </row>
    <row r="23" spans="1:39" ht="15">
      <c r="A23" s="37" t="s">
        <v>23</v>
      </c>
      <c r="B23" s="37" t="s">
        <v>35</v>
      </c>
      <c r="C23" s="37" t="s">
        <v>40</v>
      </c>
      <c r="D23" s="37" t="s">
        <v>23</v>
      </c>
      <c r="E23" s="45" t="s">
        <v>40</v>
      </c>
      <c r="F23" s="34"/>
      <c r="G23" s="34"/>
      <c r="H23" s="34"/>
      <c r="I23" s="34"/>
      <c r="O23" s="73" t="s">
        <v>33</v>
      </c>
      <c r="P23" s="73">
        <v>3</v>
      </c>
      <c r="Q23" s="20">
        <f>'Game Description'!C20</f>
        <v>1</v>
      </c>
      <c r="R23" s="74">
        <f>INDEX($H$11:$L$19,MATCH($O23,$G$11:$G$18,0),MATCH(R$5,$H$10:$L$10,0))+H$19</f>
        <v>11</v>
      </c>
      <c r="S23" s="74">
        <f>INDEX($H$11:$L$19,MATCH($O23,$G$11:$G$18,0),MATCH(S$5,$H$10:$L$10,0))+I$19</f>
        <v>10</v>
      </c>
      <c r="T23" s="74">
        <f>INDEX($H$11:$L$19,MATCH($O23,$G$11:$G$18,0),MATCH(T$5,$H$10:$L$10,0))+J$19</f>
        <v>12</v>
      </c>
      <c r="U23" s="74">
        <f>K$20-(K$19+INDEX($H$11:$L$19,MATCH($O23,$G$11:$G$18,0),MATCH(U$5,$H$10:$L$10,0)))</f>
        <v>38</v>
      </c>
      <c r="V23" s="74">
        <f t="shared" ref="V23" si="16">$L$20</f>
        <v>50</v>
      </c>
      <c r="W23" s="74">
        <f t="shared" si="1"/>
        <v>2500400</v>
      </c>
      <c r="X23" s="74">
        <f>PRODUCT(R23:V23)- PRODUCT($H$19:$J$19)*U23*V23</f>
        <v>2500400</v>
      </c>
      <c r="Y23" s="75">
        <f>(X23/$X$43)*Q23</f>
        <v>8.0012799999999995E-3</v>
      </c>
      <c r="AA23" s="73" t="s">
        <v>37</v>
      </c>
      <c r="AB23" s="73" t="s">
        <v>33</v>
      </c>
      <c r="AC23" s="73">
        <v>3</v>
      </c>
      <c r="AD23" s="20">
        <f>'Game Description'!$C$22</f>
        <v>40</v>
      </c>
      <c r="AE23" s="74">
        <f>INDEX($H$11:$L$19,MATCH($AA23,$G$11:$G$19,0),MATCH(R$5,$H$10:$L$10,0))</f>
        <v>1</v>
      </c>
      <c r="AF23" s="74">
        <f>INDEX($H$11:$L$19,MATCH($AA23,$G$11:$G$19,0),MATCH(S$5,$H$10:$L$10,0))</f>
        <v>2</v>
      </c>
      <c r="AG23" s="74">
        <f>INDEX($H$11:$L$19,MATCH($AA23,$G$11:$G$19,0),MATCH(T$5,$H$10:$L$10,0))</f>
        <v>2</v>
      </c>
      <c r="AH23" s="74">
        <f>INDEX($H$11:$L$19,MATCH("FF",$G$11:$G$19,0),MATCH(AH$5,$H$10:$L$10,0))</f>
        <v>10</v>
      </c>
      <c r="AI23" s="74">
        <f>L16</f>
        <v>10</v>
      </c>
      <c r="AJ23" s="74">
        <f t="shared" si="2"/>
        <v>20000</v>
      </c>
      <c r="AK23" s="74">
        <f t="shared" si="0"/>
        <v>400</v>
      </c>
      <c r="AL23" s="75">
        <f>IF(AD23&gt;Q21,AD23,Q21)*(AK23/$X$43)</f>
        <v>6.3999999999999997E-5</v>
      </c>
      <c r="AM23" s="78"/>
    </row>
    <row r="24" spans="1:39" ht="15">
      <c r="A24" s="37" t="s">
        <v>31</v>
      </c>
      <c r="B24" s="37" t="s">
        <v>33</v>
      </c>
      <c r="C24" s="37" t="s">
        <v>35</v>
      </c>
      <c r="D24" s="37" t="s">
        <v>25</v>
      </c>
      <c r="E24" s="37" t="s">
        <v>29</v>
      </c>
      <c r="F24" s="34"/>
      <c r="G24" s="34"/>
      <c r="H24" s="34"/>
      <c r="I24" s="34"/>
      <c r="O24" s="73" t="s">
        <v>35</v>
      </c>
      <c r="P24" s="73">
        <v>5</v>
      </c>
      <c r="Q24" s="20">
        <f>'Game Description'!E21</f>
        <v>50</v>
      </c>
      <c r="R24" s="74">
        <f>INDEX($H$11:$L$19,MATCH($O24,$G$11:$G$18,0),MATCH(R$5,$H$10:$L$10,0))+H$19</f>
        <v>11</v>
      </c>
      <c r="S24" s="74">
        <f>INDEX($H$11:$L$19,MATCH($O24,$G$11:$G$18,0),MATCH(S$5,$H$10:$L$10,0))+I$19</f>
        <v>13</v>
      </c>
      <c r="T24" s="74">
        <f>INDEX($H$11:$L$19,MATCH($O24,$G$11:$G$18,0),MATCH(T$5,$H$10:$L$10,0))+J$19</f>
        <v>11</v>
      </c>
      <c r="U24" s="74">
        <f>INDEX($H$11:$L$19,MATCH($O24,$G$11:$G$18,0),MATCH(U$5,$H$10:$L$10,0))+K$19</f>
        <v>11</v>
      </c>
      <c r="V24" s="74">
        <f>INDEX($H$11:$L$19,MATCH($O24,$G$11:$G$18,0),MATCH(V$5,$H$10:$L$10,0))+L$19</f>
        <v>10</v>
      </c>
      <c r="W24" s="74">
        <f t="shared" si="1"/>
        <v>8633100</v>
      </c>
      <c r="X24" s="74">
        <f>PRODUCT(R24:V24)-AK24-AK26-AK27</f>
        <v>172662</v>
      </c>
      <c r="Y24" s="75">
        <f>(X24/$X$43)*Q24</f>
        <v>2.7625920000000002E-2</v>
      </c>
      <c r="Z24" s="78">
        <f t="shared" ref="Z24" si="17">SUM(Y21:Y23)</f>
        <v>5.7537792000000004E-2</v>
      </c>
      <c r="AA24" s="73" t="s">
        <v>37</v>
      </c>
      <c r="AB24" s="73" t="s">
        <v>35</v>
      </c>
      <c r="AC24" s="73">
        <v>4</v>
      </c>
      <c r="AD24" s="20">
        <f>'Game Description'!$D$22</f>
        <v>400</v>
      </c>
      <c r="AE24" s="74">
        <f>INDEX($H$11:$L$19,MATCH($AA24,$G$11:$G$19,0),MATCH(R$5,$H$10:$L$10,0))</f>
        <v>1</v>
      </c>
      <c r="AF24" s="74">
        <f>INDEX($H$11:$L$19,MATCH($AA24,$G$11:$G$19,0),MATCH(S$5,$H$10:$L$10,0))</f>
        <v>2</v>
      </c>
      <c r="AG24" s="74">
        <f>INDEX($H$11:$L$19,MATCH($AA24,$G$11:$G$19,0),MATCH(T$5,$H$10:$L$10,0))</f>
        <v>2</v>
      </c>
      <c r="AH24" s="74">
        <f>INDEX($H$11:$L$19,MATCH($AA24,$G$11:$G$19,0),MATCH(U$5,$H$10:$L$10,0))</f>
        <v>2</v>
      </c>
      <c r="AI24" s="74">
        <f>INDEX($H$11:$L$19,MATCH("GG",$G$11:$G$19,0),MATCH(AI$5,$H$10:$L$10,0))</f>
        <v>8</v>
      </c>
      <c r="AJ24" s="74">
        <f t="shared" si="2"/>
        <v>25600</v>
      </c>
      <c r="AK24" s="74">
        <f t="shared" si="0"/>
        <v>64</v>
      </c>
      <c r="AL24" s="75">
        <f>IF(AD24&gt;Q24,AD24,Q24)*(AK24/$X$43)</f>
        <v>8.1920000000000002E-5</v>
      </c>
    </row>
    <row r="25" spans="1:39" ht="15">
      <c r="A25" s="37" t="s">
        <v>27</v>
      </c>
      <c r="B25" s="37" t="s">
        <v>33</v>
      </c>
      <c r="C25" s="37" t="s">
        <v>33</v>
      </c>
      <c r="D25" s="37" t="s">
        <v>33</v>
      </c>
      <c r="E25" s="37" t="s">
        <v>29</v>
      </c>
      <c r="F25" s="34"/>
      <c r="G25" s="34"/>
      <c r="H25" s="34"/>
      <c r="I25" s="34"/>
      <c r="O25" s="73" t="s">
        <v>35</v>
      </c>
      <c r="P25" s="73">
        <v>4</v>
      </c>
      <c r="Q25" s="20">
        <f>'Game Description'!D21</f>
        <v>10</v>
      </c>
      <c r="R25" s="74">
        <f>INDEX($H$11:$L$19,MATCH($O25,$G$11:$G$18,0),MATCH(R$5,$H$10:$L$10,0))+H$19</f>
        <v>11</v>
      </c>
      <c r="S25" s="74">
        <f>INDEX($H$11:$L$19,MATCH($O25,$G$11:$G$18,0),MATCH(S$5,$H$10:$L$10,0))+I$19</f>
        <v>13</v>
      </c>
      <c r="T25" s="74">
        <f>INDEX($H$11:$L$19,MATCH($O25,$G$11:$G$18,0),MATCH(T$5,$H$10:$L$10,0))+J$19</f>
        <v>11</v>
      </c>
      <c r="U25" s="74">
        <f>INDEX($H$11:$L$19,MATCH($O25,$G$11:$G$18,0),MATCH(U$5,$H$10:$L$10,0))+K$19</f>
        <v>11</v>
      </c>
      <c r="V25" s="74">
        <f>L$20-(L$19+INDEX($H$11:$L$19,MATCH($O25,$G$11:$G$17,0),MATCH(V$5,$H$10:$L$10,0)))</f>
        <v>40</v>
      </c>
      <c r="W25" s="74">
        <f t="shared" si="1"/>
        <v>6903600</v>
      </c>
      <c r="X25" s="74">
        <f>PRODUCT(R25:V25)-PRODUCT($H$19:$K$19)*$V25-$AK25</f>
        <v>690360</v>
      </c>
      <c r="Y25" s="75">
        <f>(X25/$X$43)*Q25</f>
        <v>2.2091519999999996E-2</v>
      </c>
      <c r="AA25" s="73" t="s">
        <v>37</v>
      </c>
      <c r="AB25" s="73" t="s">
        <v>35</v>
      </c>
      <c r="AC25" s="73">
        <v>3</v>
      </c>
      <c r="AD25" s="20">
        <f>'Game Description'!$C$22</f>
        <v>40</v>
      </c>
      <c r="AE25" s="74">
        <f>INDEX($H$11:$L$19,MATCH($AA25,$G$11:$G$19,0),MATCH(R$5,$H$10:$L$10,0))</f>
        <v>1</v>
      </c>
      <c r="AF25" s="74">
        <f>INDEX($H$11:$L$19,MATCH($AA25,$G$11:$G$19,0),MATCH(S$5,$H$10:$L$10,0))</f>
        <v>2</v>
      </c>
      <c r="AG25" s="74">
        <f>INDEX($H$11:$L$19,MATCH($AA25,$G$11:$G$19,0),MATCH(T$5,$H$10:$L$10,0))</f>
        <v>2</v>
      </c>
      <c r="AH25" s="74">
        <f>INDEX($H$11:$L$19,MATCH("GG",$G$11:$G$19,0),MATCH(AH$5,$H$10:$L$10,0))</f>
        <v>9</v>
      </c>
      <c r="AI25" s="74">
        <f>L20-L19-L17</f>
        <v>40</v>
      </c>
      <c r="AJ25" s="74">
        <f t="shared" si="2"/>
        <v>57600</v>
      </c>
      <c r="AK25" s="74">
        <f t="shared" si="0"/>
        <v>1440</v>
      </c>
      <c r="AL25" s="75">
        <f>IF(AD25&gt;Q25,AD25,Q25)*(AK25/$X$43)</f>
        <v>1.8432E-4</v>
      </c>
    </row>
    <row r="26" spans="1:39" ht="15">
      <c r="A26" s="37" t="s">
        <v>33</v>
      </c>
      <c r="B26" s="37" t="s">
        <v>25</v>
      </c>
      <c r="C26" s="37" t="s">
        <v>37</v>
      </c>
      <c r="D26" s="37" t="s">
        <v>33</v>
      </c>
      <c r="E26" s="37" t="s">
        <v>29</v>
      </c>
      <c r="F26" s="34"/>
      <c r="G26" s="34"/>
      <c r="H26" s="34"/>
      <c r="I26" s="34"/>
      <c r="O26" s="73" t="s">
        <v>35</v>
      </c>
      <c r="P26" s="73">
        <v>3</v>
      </c>
      <c r="Q26" s="20">
        <f>'Game Description'!C21</f>
        <v>1</v>
      </c>
      <c r="R26" s="74">
        <f>INDEX($H$11:$L$19,MATCH($O26,$G$11:$G$18,0),MATCH(R$5,$H$10:$L$10,0))+H$19</f>
        <v>11</v>
      </c>
      <c r="S26" s="74">
        <f>INDEX($H$11:$L$19,MATCH($O26,$G$11:$G$18,0),MATCH(S$5,$H$10:$L$10,0))+I$19</f>
        <v>13</v>
      </c>
      <c r="T26" s="74">
        <f>INDEX($H$11:$L$19,MATCH($O26,$G$11:$G$18,0),MATCH(T$5,$H$10:$L$10,0))+J$19</f>
        <v>11</v>
      </c>
      <c r="U26" s="74">
        <f>K$20-(K$19+INDEX($H$11:$L$19,MATCH($O26,$G$11:$G$18,0),MATCH(U$5,$H$10:$L$10,0)))</f>
        <v>39</v>
      </c>
      <c r="V26" s="74">
        <f t="shared" ref="V26" si="18">$L$20</f>
        <v>50</v>
      </c>
      <c r="W26" s="74">
        <f t="shared" si="1"/>
        <v>3059550</v>
      </c>
      <c r="X26" s="74">
        <f>PRODUCT(R26:V26)- PRODUCT($H$19:$J$19)*U26*V26</f>
        <v>3059550</v>
      </c>
      <c r="Y26" s="75">
        <f>(X26/$X$43)*Q26</f>
        <v>9.7905600000000002E-3</v>
      </c>
      <c r="AA26" s="73" t="s">
        <v>37</v>
      </c>
      <c r="AB26" s="73" t="s">
        <v>35</v>
      </c>
      <c r="AC26" s="73">
        <v>3</v>
      </c>
      <c r="AD26" s="20">
        <f>'Game Description'!$C$22</f>
        <v>40</v>
      </c>
      <c r="AE26" s="74">
        <f>INDEX($H$11:$L$19,MATCH($AA26,$G$11:$G$19,0),MATCH(R$5,$H$10:$L$10,0))</f>
        <v>1</v>
      </c>
      <c r="AF26" s="74">
        <f>INDEX($H$11:$L$19,MATCH($AA26,$G$11:$G$19,0),MATCH(S$5,$H$10:$L$10,0))</f>
        <v>2</v>
      </c>
      <c r="AG26" s="74">
        <f>INDEX($H$11:$L$19,MATCH($AA26,$G$11:$G$19,0),MATCH(T$5,$H$10:$L$10,0))</f>
        <v>2</v>
      </c>
      <c r="AH26" s="74">
        <f>INDEX($H$11:$L$19,MATCH("GG",$G$11:$G$19,0),MATCH(AH$5,$H$10:$L$10,0))</f>
        <v>9</v>
      </c>
      <c r="AI26" s="74">
        <f>L17</f>
        <v>8</v>
      </c>
      <c r="AJ26" s="74">
        <f t="shared" si="2"/>
        <v>14400</v>
      </c>
      <c r="AK26" s="74">
        <f t="shared" si="0"/>
        <v>288</v>
      </c>
      <c r="AL26" s="75">
        <f>IF(AD26&gt;Q24,AD26,Q24)*(AK26/$X$43)</f>
        <v>4.6079999999999999E-5</v>
      </c>
      <c r="AM26" s="78"/>
    </row>
    <row r="27" spans="1:39" ht="15">
      <c r="A27" s="37" t="s">
        <v>33</v>
      </c>
      <c r="B27" s="37" t="s">
        <v>27</v>
      </c>
      <c r="C27" s="37" t="s">
        <v>33</v>
      </c>
      <c r="D27" s="37" t="s">
        <v>33</v>
      </c>
      <c r="E27" s="37" t="s">
        <v>33</v>
      </c>
      <c r="F27" s="34"/>
      <c r="G27" s="34"/>
      <c r="H27" s="34"/>
      <c r="I27" s="34"/>
      <c r="O27" s="45" t="s">
        <v>40</v>
      </c>
      <c r="P27" s="73">
        <v>5</v>
      </c>
      <c r="Q27" s="20">
        <f>'Game Description'!E23</f>
        <v>500</v>
      </c>
      <c r="R27" s="74">
        <f>IF(G36=$O27,3*INDEX($H$11:$L$19,MATCH($O27,$G$11:$G$18,0),MATCH(R$5,$H$10:$L$10,0)),H$20-3*INDEX($H$11:$L$19,MATCH($O27,$G$11:$G$18,0),MATCH(R$5,$H$10:$L$10,0)))</f>
        <v>6</v>
      </c>
      <c r="S27" s="74">
        <f>IF(H36=$O27,3*INDEX($H$11:$L$19,MATCH($O27,$G$11:$G$18,0),MATCH(S$5,$H$10:$L$10,0)),I$20-3*INDEX($H$11:$L$19,MATCH($O27,$G$11:$G$18,0),MATCH(S$5,$H$10:$L$10,0)))</f>
        <v>6</v>
      </c>
      <c r="T27" s="74">
        <f>IF(I36=$O27,3*INDEX($H$11:$L$19,MATCH($O27,$G$11:$G$18,0),MATCH(T$5,$H$10:$L$10,0)),J$20-3*INDEX($H$11:$L$19,MATCH($O27,$G$11:$G$18,0),MATCH(T$5,$H$10:$L$10,0)))</f>
        <v>6</v>
      </c>
      <c r="U27" s="74">
        <f>IF(J36=$O27,3*INDEX($H$11:$L$19,MATCH($O27,$G$11:$G$18,0),MATCH(U$5,$H$10:$L$10,0)),K$20-3*INDEX($H$11:$L$19,MATCH($O27,$G$11:$G$18,0),MATCH(U$5,$H$10:$L$10,0)))</f>
        <v>6</v>
      </c>
      <c r="V27" s="74">
        <f>IF(K36=$O27,3*INDEX($H$11:$L$19,MATCH($O27,$G$11:$G$18,0),MATCH(V$5,$H$10:$L$10,0)),L$20-3*INDEX($H$11:$L$19,MATCH($O27,$G$11:$G$18,0),MATCH(V$5,$H$10:$L$10,0)))</f>
        <v>6</v>
      </c>
      <c r="W27" s="74">
        <f t="shared" si="1"/>
        <v>3888000</v>
      </c>
      <c r="X27" s="74">
        <f>PRODUCT(R27:V27)</f>
        <v>7776</v>
      </c>
      <c r="Y27" s="80">
        <f>(X27/$X$43)*Q27</f>
        <v>1.2441599999999999E-2</v>
      </c>
      <c r="Z27" s="78">
        <f>SUM(Y24:Y26)</f>
        <v>5.9508000000000005E-2</v>
      </c>
      <c r="AA27" s="73"/>
      <c r="AB27" s="73"/>
      <c r="AC27" s="73"/>
      <c r="AD27" s="20"/>
      <c r="AE27" s="74">
        <f>H19</f>
        <v>1</v>
      </c>
      <c r="AF27" s="74">
        <f>I19</f>
        <v>2</v>
      </c>
      <c r="AG27" s="74">
        <f>J19</f>
        <v>2</v>
      </c>
      <c r="AH27" s="74">
        <f>K19</f>
        <v>2</v>
      </c>
      <c r="AI27" s="74">
        <f>L19</f>
        <v>2</v>
      </c>
      <c r="AJ27" s="74">
        <f t="shared" si="2"/>
        <v>16000.000000000002</v>
      </c>
      <c r="AK27" s="74">
        <f>PRODUCT(AE27:AI27)</f>
        <v>16</v>
      </c>
      <c r="AL27" s="75">
        <f>AK27/X43*'Game Description'!E22</f>
        <v>5.1200000000000004E-5</v>
      </c>
    </row>
    <row r="28" spans="1:39" ht="15">
      <c r="A28" s="37" t="s">
        <v>35</v>
      </c>
      <c r="B28" s="37" t="s">
        <v>35</v>
      </c>
      <c r="C28" s="37" t="s">
        <v>33</v>
      </c>
      <c r="D28" s="43" t="s">
        <v>37</v>
      </c>
      <c r="E28" s="37" t="s">
        <v>33</v>
      </c>
      <c r="F28" s="34"/>
      <c r="G28" s="34"/>
      <c r="H28" s="34"/>
      <c r="I28" s="34"/>
      <c r="O28" s="45" t="s">
        <v>40</v>
      </c>
      <c r="P28" s="73">
        <v>4</v>
      </c>
      <c r="Q28" s="20">
        <f>'Game Description'!$D$23</f>
        <v>50</v>
      </c>
      <c r="R28" s="74">
        <f>IF(G37=$O28,3*INDEX($H$11:$L$19,MATCH($O28,$G$11:$G$18,0),MATCH(R$5,$H$10:$L$10,0)),H$20-3*INDEX($H$11:$L$19,MATCH($O28,$G$11:$G$18,0),MATCH(R$5,$H$10:$L$10,0)))</f>
        <v>6</v>
      </c>
      <c r="S28" s="74">
        <f>IF(H37=$O28,3*INDEX($H$11:$L$19,MATCH($O28,$G$11:$G$18,0),MATCH(S$5,$H$10:$L$10,0)),I$20-3*INDEX($H$11:$L$19,MATCH($O28,$G$11:$G$18,0),MATCH(S$5,$H$10:$L$10,0)))</f>
        <v>6</v>
      </c>
      <c r="T28" s="74">
        <f>IF(I37=$O28,3*INDEX($H$11:$L$19,MATCH($O28,$G$11:$G$18,0),MATCH(T$5,$H$10:$L$10,0)),J$20-3*INDEX($H$11:$L$19,MATCH($O28,$G$11:$G$18,0),MATCH(T$5,$H$10:$L$10,0)))</f>
        <v>6</v>
      </c>
      <c r="U28" s="74">
        <f>IF(J37=$O28,3*INDEX($H$11:$L$19,MATCH($O28,$G$11:$G$18,0),MATCH(U$5,$H$10:$L$10,0)),K$20-3*INDEX($H$11:$L$19,MATCH($O28,$G$11:$G$18,0),MATCH(U$5,$H$10:$L$10,0)))</f>
        <v>6</v>
      </c>
      <c r="V28" s="74">
        <f>IF(K37=$O28,3*INDEX($H$11:$L$19,MATCH($O28,$G$11:$G$18,0),MATCH(V$5,$H$10:$L$10,0)),L$20-3*INDEX($H$11:$L$19,MATCH($O28,$G$11:$G$18,0),MATCH(V$5,$H$10:$L$10,0)))</f>
        <v>44</v>
      </c>
      <c r="W28" s="74">
        <f t="shared" si="1"/>
        <v>2851200</v>
      </c>
      <c r="X28" s="74">
        <f>PRODUCT(R28:V28)</f>
        <v>57024</v>
      </c>
      <c r="Y28" s="75">
        <f>(X28/$X$43)*Q28</f>
        <v>9.1238399999999994E-3</v>
      </c>
      <c r="Z28" s="79">
        <f>SUM(Z9:Z27)</f>
        <v>0.38307907200000002</v>
      </c>
      <c r="AJ28" s="74">
        <f t="shared" si="2"/>
        <v>6400</v>
      </c>
      <c r="AK28" s="77">
        <f>PRODUCT($H$19:$K$19)*L18</f>
        <v>16</v>
      </c>
      <c r="AL28" s="82">
        <f>(AK28/$X$43)*'Game Description'!$D$22</f>
        <v>2.048E-5</v>
      </c>
    </row>
    <row r="29" spans="1:39" ht="15">
      <c r="A29" s="37" t="s">
        <v>33</v>
      </c>
      <c r="B29" s="37" t="s">
        <v>35</v>
      </c>
      <c r="C29" s="37" t="s">
        <v>33</v>
      </c>
      <c r="D29" s="37" t="s">
        <v>23</v>
      </c>
      <c r="E29" s="37" t="s">
        <v>33</v>
      </c>
      <c r="F29" s="34"/>
      <c r="G29" s="34"/>
      <c r="H29" s="34"/>
      <c r="I29" s="34"/>
      <c r="O29" s="45" t="s">
        <v>40</v>
      </c>
      <c r="P29" s="73">
        <v>4</v>
      </c>
      <c r="Q29" s="20">
        <f>'Game Description'!$D$23</f>
        <v>50</v>
      </c>
      <c r="R29" s="74">
        <f>IF(G38=$O29,3*INDEX($H$11:$L$19,MATCH($O29,$G$11:$G$18,0),MATCH(R$5,$H$10:$L$10,0)),H$20-3*INDEX($H$11:$L$19,MATCH($O29,$G$11:$G$18,0),MATCH(R$5,$H$10:$L$10,0)))</f>
        <v>6</v>
      </c>
      <c r="S29" s="74">
        <f>IF(H38=$O29,3*INDEX($H$11:$L$19,MATCH($O29,$G$11:$G$18,0),MATCH(S$5,$H$10:$L$10,0)),I$20-3*INDEX($H$11:$L$19,MATCH($O29,$G$11:$G$18,0),MATCH(S$5,$H$10:$L$10,0)))</f>
        <v>6</v>
      </c>
      <c r="T29" s="74">
        <f>IF(I38=$O29,3*INDEX($H$11:$L$19,MATCH($O29,$G$11:$G$18,0),MATCH(T$5,$H$10:$L$10,0)),J$20-3*INDEX($H$11:$L$19,MATCH($O29,$G$11:$G$18,0),MATCH(T$5,$H$10:$L$10,0)))</f>
        <v>6</v>
      </c>
      <c r="U29" s="74">
        <f>IF(J38=$O29,3*INDEX($H$11:$L$19,MATCH($O29,$G$11:$G$18,0),MATCH(U$5,$H$10:$L$10,0)),K$20-3*INDEX($H$11:$L$19,MATCH($O29,$G$11:$G$18,0),MATCH(U$5,$H$10:$L$10,0)))</f>
        <v>44</v>
      </c>
      <c r="V29" s="74">
        <f>IF(K38=$O29,3*INDEX($H$11:$L$19,MATCH($O29,$G$11:$G$18,0),MATCH(V$5,$H$10:$L$10,0)),L$20-3*INDEX($H$11:$L$19,MATCH($O29,$G$11:$G$18,0),MATCH(V$5,$H$10:$L$10,0)))</f>
        <v>6</v>
      </c>
      <c r="W29" s="74">
        <f t="shared" si="1"/>
        <v>2851200</v>
      </c>
      <c r="X29" s="74">
        <f t="shared" ref="X27:X42" si="19">PRODUCT(R29:V29)</f>
        <v>57024</v>
      </c>
      <c r="Y29" s="75">
        <f>(X29/$X$43)*Q29</f>
        <v>9.1238399999999994E-3</v>
      </c>
      <c r="AJ29" s="74">
        <f t="shared" si="2"/>
        <v>16000</v>
      </c>
      <c r="AK29" s="77">
        <f>PRODUCT($H$19:$J$19)*K18*$L$20</f>
        <v>400</v>
      </c>
      <c r="AL29" s="82">
        <f>(AK29/$X$43)*'Game Description'!$C$22</f>
        <v>5.1199999999999998E-5</v>
      </c>
    </row>
    <row r="30" spans="1:39" ht="15">
      <c r="A30" s="37" t="s">
        <v>29</v>
      </c>
      <c r="B30" s="37" t="s">
        <v>35</v>
      </c>
      <c r="C30" s="37" t="s">
        <v>31</v>
      </c>
      <c r="D30" s="37" t="s">
        <v>33</v>
      </c>
      <c r="E30" s="37" t="s">
        <v>35</v>
      </c>
      <c r="F30" s="34"/>
      <c r="G30" s="34"/>
      <c r="H30" s="34"/>
      <c r="I30" s="34"/>
      <c r="O30" s="45" t="s">
        <v>40</v>
      </c>
      <c r="P30" s="73">
        <v>4</v>
      </c>
      <c r="Q30" s="20">
        <f>'Game Description'!$D$23</f>
        <v>50</v>
      </c>
      <c r="R30" s="74">
        <f>IF(G39=$O30,3*INDEX($H$11:$L$19,MATCH($O30,$G$11:$G$18,0),MATCH(R$5,$H$10:$L$10,0)),H$20-3*INDEX($H$11:$L$19,MATCH($O30,$G$11:$G$18,0),MATCH(R$5,$H$10:$L$10,0)))</f>
        <v>6</v>
      </c>
      <c r="S30" s="74">
        <f>IF(H39=$O30,3*INDEX($H$11:$L$19,MATCH($O30,$G$11:$G$18,0),MATCH(S$5,$H$10:$L$10,0)),I$20-3*INDEX($H$11:$L$19,MATCH($O30,$G$11:$G$18,0),MATCH(S$5,$H$10:$L$10,0)))</f>
        <v>6</v>
      </c>
      <c r="T30" s="74">
        <f>IF(I39=$O30,3*INDEX($H$11:$L$19,MATCH($O30,$G$11:$G$18,0),MATCH(T$5,$H$10:$L$10,0)),J$20-3*INDEX($H$11:$L$19,MATCH($O30,$G$11:$G$18,0),MATCH(T$5,$H$10:$L$10,0)))</f>
        <v>44</v>
      </c>
      <c r="U30" s="74">
        <f>IF(J39=$O30,3*INDEX($H$11:$L$19,MATCH($O30,$G$11:$G$18,0),MATCH(U$5,$H$10:$L$10,0)),K$20-3*INDEX($H$11:$L$19,MATCH($O30,$G$11:$G$18,0),MATCH(U$5,$H$10:$L$10,0)))</f>
        <v>6</v>
      </c>
      <c r="V30" s="74">
        <f>IF(K39=$O30,3*INDEX($H$11:$L$19,MATCH($O30,$G$11:$G$18,0),MATCH(V$5,$H$10:$L$10,0)),L$20-3*INDEX($H$11:$L$19,MATCH($O30,$G$11:$G$18,0),MATCH(V$5,$H$10:$L$10,0)))</f>
        <v>6</v>
      </c>
      <c r="W30" s="74">
        <f t="shared" si="1"/>
        <v>2851200</v>
      </c>
      <c r="X30" s="74">
        <f t="shared" si="19"/>
        <v>57024</v>
      </c>
      <c r="Y30" s="75">
        <f>(X30/$X$43)*Q30</f>
        <v>9.1238399999999994E-3</v>
      </c>
      <c r="AJ30">
        <f>SUM(AJ6:AJ29)</f>
        <v>720480</v>
      </c>
      <c r="AK30" s="77">
        <f>SUM(AK6:AK27)</f>
        <v>9216</v>
      </c>
      <c r="AL30" s="79">
        <f>SUM(AL6:AL29)</f>
        <v>2.3055360000000004E-3</v>
      </c>
      <c r="AM30" s="79"/>
    </row>
    <row r="31" spans="1:39" ht="15">
      <c r="A31" s="81" t="s">
        <v>35</v>
      </c>
      <c r="B31" s="37" t="s">
        <v>29</v>
      </c>
      <c r="C31" s="37" t="s">
        <v>23</v>
      </c>
      <c r="D31" s="37" t="s">
        <v>31</v>
      </c>
      <c r="E31" s="37" t="s">
        <v>33</v>
      </c>
      <c r="F31" s="34"/>
      <c r="G31" s="34"/>
      <c r="H31" s="34"/>
      <c r="I31" s="34"/>
      <c r="O31" s="45" t="s">
        <v>40</v>
      </c>
      <c r="P31" s="73">
        <v>4</v>
      </c>
      <c r="Q31" s="20">
        <f>'Game Description'!$D$23</f>
        <v>50</v>
      </c>
      <c r="R31" s="74">
        <f>IF(G40=$O31,3*INDEX($H$11:$L$19,MATCH($O31,$G$11:$G$18,0),MATCH(R$5,$H$10:$L$10,0)),H$20-3*INDEX($H$11:$L$19,MATCH($O31,$G$11:$G$18,0),MATCH(R$5,$H$10:$L$10,0)))</f>
        <v>6</v>
      </c>
      <c r="S31" s="74">
        <f>IF(H40=$O31,3*INDEX($H$11:$L$19,MATCH($O31,$G$11:$G$18,0),MATCH(S$5,$H$10:$L$10,0)),I$20-3*INDEX($H$11:$L$19,MATCH($O31,$G$11:$G$18,0),MATCH(S$5,$H$10:$L$10,0)))</f>
        <v>44</v>
      </c>
      <c r="T31" s="74">
        <f>IF(I40=$O31,3*INDEX($H$11:$L$19,MATCH($O31,$G$11:$G$18,0),MATCH(T$5,$H$10:$L$10,0)),J$20-3*INDEX($H$11:$L$19,MATCH($O31,$G$11:$G$18,0),MATCH(T$5,$H$10:$L$10,0)))</f>
        <v>6</v>
      </c>
      <c r="U31" s="74">
        <f>IF(J40=$O31,3*INDEX($H$11:$L$19,MATCH($O31,$G$11:$G$18,0),MATCH(U$5,$H$10:$L$10,0)),K$20-3*INDEX($H$11:$L$19,MATCH($O31,$G$11:$G$18,0),MATCH(U$5,$H$10:$L$10,0)))</f>
        <v>6</v>
      </c>
      <c r="V31" s="74">
        <f>IF(K40=$O31,3*INDEX($H$11:$L$19,MATCH($O31,$G$11:$G$18,0),MATCH(V$5,$H$10:$L$10,0)),L$20-3*INDEX($H$11:$L$19,MATCH($O31,$G$11:$G$18,0),MATCH(V$5,$H$10:$L$10,0)))</f>
        <v>6</v>
      </c>
      <c r="W31" s="74">
        <f t="shared" si="1"/>
        <v>2851200</v>
      </c>
      <c r="X31" s="74">
        <f t="shared" si="19"/>
        <v>57024</v>
      </c>
      <c r="Y31" s="75">
        <f>(X31/$X$43)*Q31</f>
        <v>9.1238399999999994E-3</v>
      </c>
    </row>
    <row r="32" spans="1:39" ht="15">
      <c r="A32" s="37" t="s">
        <v>29</v>
      </c>
      <c r="B32" s="81" t="s">
        <v>27</v>
      </c>
      <c r="C32" s="37" t="s">
        <v>31</v>
      </c>
      <c r="D32" s="37" t="s">
        <v>29</v>
      </c>
      <c r="E32" s="43" t="s">
        <v>37</v>
      </c>
      <c r="F32" s="34"/>
      <c r="G32" s="34"/>
      <c r="H32" s="34"/>
      <c r="I32" s="34"/>
      <c r="O32" s="45" t="s">
        <v>40</v>
      </c>
      <c r="P32" s="73">
        <v>4</v>
      </c>
      <c r="Q32" s="20">
        <f>'Game Description'!$D$23</f>
        <v>50</v>
      </c>
      <c r="R32" s="74">
        <f>IF(G41=$O32,3*INDEX($H$11:$L$19,MATCH($O32,$G$11:$G$18,0),MATCH(R$5,$H$10:$L$10,0)),H$20-3*INDEX($H$11:$L$19,MATCH($O32,$G$11:$G$18,0),MATCH(R$5,$H$10:$L$10,0)))</f>
        <v>44</v>
      </c>
      <c r="S32" s="74">
        <f>IF(H41=$O32,3*INDEX($H$11:$L$19,MATCH($O32,$G$11:$G$18,0),MATCH(S$5,$H$10:$L$10,0)),I$20-3*INDEX($H$11:$L$19,MATCH($O32,$G$11:$G$18,0),MATCH(S$5,$H$10:$L$10,0)))</f>
        <v>6</v>
      </c>
      <c r="T32" s="74">
        <f>IF(I41=$O32,3*INDEX($H$11:$L$19,MATCH($O32,$G$11:$G$18,0),MATCH(T$5,$H$10:$L$10,0)),J$20-3*INDEX($H$11:$L$19,MATCH($O32,$G$11:$G$18,0),MATCH(T$5,$H$10:$L$10,0)))</f>
        <v>6</v>
      </c>
      <c r="U32" s="74">
        <f>IF(J41=$O32,3*INDEX($H$11:$L$19,MATCH($O32,$G$11:$G$18,0),MATCH(U$5,$H$10:$L$10,0)),K$20-3*INDEX($H$11:$L$19,MATCH($O32,$G$11:$G$18,0),MATCH(U$5,$H$10:$L$10,0)))</f>
        <v>6</v>
      </c>
      <c r="V32" s="74">
        <f>IF(K41=$O32,3*INDEX($H$11:$L$19,MATCH($O32,$G$11:$G$18,0),MATCH(V$5,$H$10:$L$10,0)),L$20-3*INDEX($H$11:$L$19,MATCH($O32,$G$11:$G$18,0),MATCH(V$5,$H$10:$L$10,0)))</f>
        <v>6</v>
      </c>
      <c r="W32" s="74">
        <f t="shared" si="1"/>
        <v>2851200</v>
      </c>
      <c r="X32" s="74">
        <f t="shared" si="19"/>
        <v>57024</v>
      </c>
      <c r="Y32" s="75">
        <f>(X32/$X$43)*Q32</f>
        <v>9.1238399999999994E-3</v>
      </c>
      <c r="AL32" s="78"/>
    </row>
    <row r="33" spans="1:26" ht="15">
      <c r="A33" s="37" t="s">
        <v>27</v>
      </c>
      <c r="B33" s="37" t="s">
        <v>31</v>
      </c>
      <c r="C33" s="37" t="s">
        <v>29</v>
      </c>
      <c r="D33" s="37" t="s">
        <v>33</v>
      </c>
      <c r="E33" s="37" t="s">
        <v>35</v>
      </c>
      <c r="F33" s="34"/>
      <c r="G33" s="34"/>
      <c r="H33" s="34"/>
      <c r="I33" s="34"/>
      <c r="J33" s="34"/>
      <c r="K33" s="34"/>
      <c r="L33" s="34"/>
      <c r="O33" s="45" t="s">
        <v>40</v>
      </c>
      <c r="P33" s="73">
        <v>3</v>
      </c>
      <c r="Q33" s="20">
        <f>'Game Description'!$C$23</f>
        <v>10</v>
      </c>
      <c r="R33" s="74">
        <f>IF(G42=$O33,3*INDEX($H$11:$L$19,MATCH($O33,$G$11:$G$18,0),MATCH(R$5,$H$10:$L$10,0)),H$20-3*INDEX($H$11:$L$19,MATCH($O33,$G$11:$G$18,0),MATCH(R$5,$H$10:$L$10,0)))</f>
        <v>44</v>
      </c>
      <c r="S33" s="74">
        <f>IF(H42=$O33,3*INDEX($H$11:$L$19,MATCH($O33,$G$11:$G$18,0),MATCH(S$5,$H$10:$L$10,0)),I$20-3*INDEX($H$11:$L$19,MATCH($O33,$G$11:$G$18,0),MATCH(S$5,$H$10:$L$10,0)))</f>
        <v>6</v>
      </c>
      <c r="T33" s="74">
        <f>IF(I42=$O33,3*INDEX($H$11:$L$19,MATCH($O33,$G$11:$G$18,0),MATCH(T$5,$H$10:$L$10,0)),J$20-3*INDEX($H$11:$L$19,MATCH($O33,$G$11:$G$18,0),MATCH(T$5,$H$10:$L$10,0)))</f>
        <v>6</v>
      </c>
      <c r="U33" s="74">
        <f>IF(J42=$O33,3*INDEX($H$11:$L$19,MATCH($O33,$G$11:$G$18,0),MATCH(U$5,$H$10:$L$10,0)),K$20-3*INDEX($H$11:$L$19,MATCH($O33,$G$11:$G$18,0),MATCH(U$5,$H$10:$L$10,0)))</f>
        <v>6</v>
      </c>
      <c r="V33" s="74">
        <f>IF(K42=$O33,3*INDEX($H$11:$L$19,MATCH($O33,$G$11:$G$18,0),MATCH(V$5,$H$10:$L$10,0)),L$20-3*INDEX($H$11:$L$19,MATCH($O33,$G$11:$G$18,0),MATCH(V$5,$H$10:$L$10,0)))</f>
        <v>44</v>
      </c>
      <c r="W33" s="74">
        <f t="shared" si="1"/>
        <v>4181760</v>
      </c>
      <c r="X33" s="74">
        <f t="shared" si="19"/>
        <v>418176</v>
      </c>
      <c r="Y33" s="75">
        <f>(X33/$X$43)*Q33</f>
        <v>1.3381631999999999E-2</v>
      </c>
    </row>
    <row r="34" spans="1:26" ht="15">
      <c r="A34" s="37" t="s">
        <v>31</v>
      </c>
      <c r="B34" s="37" t="s">
        <v>33</v>
      </c>
      <c r="C34" s="37" t="s">
        <v>29</v>
      </c>
      <c r="D34" s="37" t="s">
        <v>35</v>
      </c>
      <c r="E34" s="37" t="s">
        <v>31</v>
      </c>
      <c r="F34" s="34"/>
      <c r="G34" s="34"/>
      <c r="H34" s="34"/>
      <c r="I34" s="34"/>
      <c r="J34" s="34"/>
      <c r="K34" s="34"/>
      <c r="L34" s="34"/>
      <c r="O34" s="45" t="s">
        <v>40</v>
      </c>
      <c r="P34" s="73">
        <v>3</v>
      </c>
      <c r="Q34" s="20">
        <f>'Game Description'!$C$23</f>
        <v>10</v>
      </c>
      <c r="R34" s="74">
        <f>IF(G43=$O34,3*INDEX($H$11:$L$19,MATCH($O34,$G$11:$G$18,0),MATCH(R$5,$H$10:$L$10,0)),H$20-3*INDEX($H$11:$L$19,MATCH($O34,$G$11:$G$18,0),MATCH(R$5,$H$10:$L$10,0)))</f>
        <v>6</v>
      </c>
      <c r="S34" s="74">
        <f>IF(H43=$O34,3*INDEX($H$11:$L$19,MATCH($O34,$G$11:$G$18,0),MATCH(S$5,$H$10:$L$10,0)),I$20-3*INDEX($H$11:$L$19,MATCH($O34,$G$11:$G$18,0),MATCH(S$5,$H$10:$L$10,0)))</f>
        <v>44</v>
      </c>
      <c r="T34" s="74">
        <f>IF(I43=$O34,3*INDEX($H$11:$L$19,MATCH($O34,$G$11:$G$18,0),MATCH(T$5,$H$10:$L$10,0)),J$20-3*INDEX($H$11:$L$19,MATCH($O34,$G$11:$G$18,0),MATCH(T$5,$H$10:$L$10,0)))</f>
        <v>6</v>
      </c>
      <c r="U34" s="74">
        <f>IF(J43=$O34,3*INDEX($H$11:$L$19,MATCH($O34,$G$11:$G$18,0),MATCH(U$5,$H$10:$L$10,0)),K$20-3*INDEX($H$11:$L$19,MATCH($O34,$G$11:$G$18,0),MATCH(U$5,$H$10:$L$10,0)))</f>
        <v>6</v>
      </c>
      <c r="V34" s="74">
        <f>IF(K43=$O34,3*INDEX($H$11:$L$19,MATCH($O34,$G$11:$G$18,0),MATCH(V$5,$H$10:$L$10,0)),L$20-3*INDEX($H$11:$L$19,MATCH($O34,$G$11:$G$18,0),MATCH(V$5,$H$10:$L$10,0)))</f>
        <v>44</v>
      </c>
      <c r="W34" s="74">
        <f t="shared" si="1"/>
        <v>4181760</v>
      </c>
      <c r="X34" s="74">
        <f t="shared" si="19"/>
        <v>418176</v>
      </c>
      <c r="Y34" s="75">
        <f>(X34/$X$43)*Q34</f>
        <v>1.3381631999999999E-2</v>
      </c>
    </row>
    <row r="35" spans="1:26" ht="15">
      <c r="A35" s="37" t="s">
        <v>29</v>
      </c>
      <c r="B35" s="37" t="s">
        <v>31</v>
      </c>
      <c r="C35" s="37" t="s">
        <v>29</v>
      </c>
      <c r="D35" s="37" t="s">
        <v>23</v>
      </c>
      <c r="E35" s="37" t="s">
        <v>31</v>
      </c>
      <c r="F35" s="34"/>
      <c r="G35" s="89" t="s">
        <v>96</v>
      </c>
      <c r="H35" s="89"/>
      <c r="I35" s="89"/>
      <c r="J35" s="89"/>
      <c r="K35" s="89"/>
      <c r="L35" s="34"/>
      <c r="O35" s="45" t="s">
        <v>40</v>
      </c>
      <c r="P35" s="73">
        <v>3</v>
      </c>
      <c r="Q35" s="20">
        <f>'Game Description'!$C$23</f>
        <v>10</v>
      </c>
      <c r="R35" s="74">
        <f>IF(G44=$O35,3*INDEX($H$11:$L$19,MATCH($O35,$G$11:$G$18,0),MATCH(R$5,$H$10:$L$10,0)),H$20-3*INDEX($H$11:$L$19,MATCH($O35,$G$11:$G$18,0),MATCH(R$5,$H$10:$L$10,0)))</f>
        <v>44</v>
      </c>
      <c r="S35" s="74">
        <f>IF(H44=$O35,3*INDEX($H$11:$L$19,MATCH($O35,$G$11:$G$18,0),MATCH(S$5,$H$10:$L$10,0)),I$20-3*INDEX($H$11:$L$19,MATCH($O35,$G$11:$G$18,0),MATCH(S$5,$H$10:$L$10,0)))</f>
        <v>6</v>
      </c>
      <c r="T35" s="74">
        <f>IF(I44=$O35,3*INDEX($H$11:$L$19,MATCH($O35,$G$11:$G$18,0),MATCH(T$5,$H$10:$L$10,0)),J$20-3*INDEX($H$11:$L$19,MATCH($O35,$G$11:$G$18,0),MATCH(T$5,$H$10:$L$10,0)))</f>
        <v>44</v>
      </c>
      <c r="U35" s="74">
        <f>IF(J44=$O35,3*INDEX($H$11:$L$19,MATCH($O35,$G$11:$G$18,0),MATCH(U$5,$H$10:$L$10,0)),K$20-3*INDEX($H$11:$L$19,MATCH($O35,$G$11:$G$18,0),MATCH(U$5,$H$10:$L$10,0)))</f>
        <v>6</v>
      </c>
      <c r="V35" s="74">
        <f>IF(K44=$O35,3*INDEX($H$11:$L$19,MATCH($O35,$G$11:$G$18,0),MATCH(V$5,$H$10:$L$10,0)),L$20-3*INDEX($H$11:$L$19,MATCH($O35,$G$11:$G$18,0),MATCH(V$5,$H$10:$L$10,0)))</f>
        <v>6</v>
      </c>
      <c r="W35" s="74">
        <f t="shared" si="1"/>
        <v>4181760</v>
      </c>
      <c r="X35" s="74">
        <f t="shared" si="19"/>
        <v>418176</v>
      </c>
      <c r="Y35" s="75">
        <f>(X35/$X$43)*Q35</f>
        <v>1.3381631999999999E-2</v>
      </c>
    </row>
    <row r="36" spans="1:26" ht="15">
      <c r="A36" s="37" t="s">
        <v>31</v>
      </c>
      <c r="B36" s="37" t="s">
        <v>35</v>
      </c>
      <c r="C36" s="37" t="s">
        <v>35</v>
      </c>
      <c r="D36" s="37" t="s">
        <v>31</v>
      </c>
      <c r="E36" s="37" t="s">
        <v>35</v>
      </c>
      <c r="F36" s="34"/>
      <c r="G36" s="45" t="s">
        <v>40</v>
      </c>
      <c r="H36" s="45" t="s">
        <v>40</v>
      </c>
      <c r="I36" s="45" t="s">
        <v>40</v>
      </c>
      <c r="J36" s="45" t="s">
        <v>40</v>
      </c>
      <c r="K36" s="45" t="s">
        <v>40</v>
      </c>
      <c r="L36" s="34"/>
      <c r="O36" s="45" t="s">
        <v>40</v>
      </c>
      <c r="P36" s="73">
        <v>3</v>
      </c>
      <c r="Q36" s="20">
        <f>'Game Description'!$C$23</f>
        <v>10</v>
      </c>
      <c r="R36" s="74">
        <f>IF(G45=$O36,3*INDEX($H$11:$L$19,MATCH($O36,$G$11:$G$18,0),MATCH(R$5,$H$10:$L$10,0)),H$20-3*INDEX($H$11:$L$19,MATCH($O36,$G$11:$G$18,0),MATCH(R$5,$H$10:$L$10,0)))</f>
        <v>6</v>
      </c>
      <c r="S36" s="74">
        <f>IF(H45=$O36,3*INDEX($H$11:$L$19,MATCH($O36,$G$11:$G$18,0),MATCH(S$5,$H$10:$L$10,0)),I$20-3*INDEX($H$11:$L$19,MATCH($O36,$G$11:$G$18,0),MATCH(S$5,$H$10:$L$10,0)))</f>
        <v>44</v>
      </c>
      <c r="T36" s="74">
        <f>IF(I45=$O36,3*INDEX($H$11:$L$19,MATCH($O36,$G$11:$G$18,0),MATCH(T$5,$H$10:$L$10,0)),J$20-3*INDEX($H$11:$L$19,MATCH($O36,$G$11:$G$18,0),MATCH(T$5,$H$10:$L$10,0)))</f>
        <v>6</v>
      </c>
      <c r="U36" s="74">
        <f>IF(J45=$O36,3*INDEX($H$11:$L$19,MATCH($O36,$G$11:$G$18,0),MATCH(U$5,$H$10:$L$10,0)),K$20-3*INDEX($H$11:$L$19,MATCH($O36,$G$11:$G$18,0),MATCH(U$5,$H$10:$L$10,0)))</f>
        <v>44</v>
      </c>
      <c r="V36" s="74">
        <f>IF(K45=$O36,3*INDEX($H$11:$L$19,MATCH($O36,$G$11:$G$18,0),MATCH(V$5,$H$10:$L$10,0)),L$20-3*INDEX($H$11:$L$19,MATCH($O36,$G$11:$G$18,0),MATCH(V$5,$H$10:$L$10,0)))</f>
        <v>6</v>
      </c>
      <c r="W36" s="74">
        <f t="shared" si="1"/>
        <v>4181760</v>
      </c>
      <c r="X36" s="74">
        <f t="shared" si="19"/>
        <v>418176</v>
      </c>
      <c r="Y36" s="75">
        <f>(X36/$X$43)*Q36</f>
        <v>1.3381631999999999E-2</v>
      </c>
    </row>
    <row r="37" spans="1:26" ht="15">
      <c r="A37" s="37" t="s">
        <v>35</v>
      </c>
      <c r="B37" s="43" t="s">
        <v>37</v>
      </c>
      <c r="C37" s="37" t="s">
        <v>35</v>
      </c>
      <c r="D37" s="37" t="s">
        <v>33</v>
      </c>
      <c r="E37" s="37" t="s">
        <v>31</v>
      </c>
      <c r="F37" s="34"/>
      <c r="G37" s="45" t="s">
        <v>40</v>
      </c>
      <c r="H37" s="45" t="s">
        <v>40</v>
      </c>
      <c r="I37" s="45" t="s">
        <v>40</v>
      </c>
      <c r="J37" s="45" t="s">
        <v>40</v>
      </c>
      <c r="K37" s="73" t="s">
        <v>97</v>
      </c>
      <c r="L37" s="34"/>
      <c r="O37" s="45" t="s">
        <v>40</v>
      </c>
      <c r="P37" s="73">
        <v>3</v>
      </c>
      <c r="Q37" s="20">
        <f>'Game Description'!$C$23</f>
        <v>10</v>
      </c>
      <c r="R37" s="74">
        <f>IF(G46=$O37,3*INDEX($H$11:$L$19,MATCH($O37,$G$11:$G$18,0),MATCH(R$5,$H$10:$L$10,0)),H$20-3*INDEX($H$11:$L$19,MATCH($O37,$G$11:$G$18,0),MATCH(R$5,$H$10:$L$10,0)))</f>
        <v>6</v>
      </c>
      <c r="S37" s="74">
        <f>IF(H46=$O37,3*INDEX($H$11:$L$19,MATCH($O37,$G$11:$G$18,0),MATCH(S$5,$H$10:$L$10,0)),I$20-3*INDEX($H$11:$L$19,MATCH($O37,$G$11:$G$18,0),MATCH(S$5,$H$10:$L$10,0)))</f>
        <v>6</v>
      </c>
      <c r="T37" s="74">
        <f>IF(I46=$O37,3*INDEX($H$11:$L$19,MATCH($O37,$G$11:$G$18,0),MATCH(T$5,$H$10:$L$10,0)),J$20-3*INDEX($H$11:$L$19,MATCH($O37,$G$11:$G$18,0),MATCH(T$5,$H$10:$L$10,0)))</f>
        <v>44</v>
      </c>
      <c r="U37" s="74">
        <f>IF(J46=$O37,3*INDEX($H$11:$L$19,MATCH($O37,$G$11:$G$18,0),MATCH(U$5,$H$10:$L$10,0)),K$20-3*INDEX($H$11:$L$19,MATCH($O37,$G$11:$G$18,0),MATCH(U$5,$H$10:$L$10,0)))</f>
        <v>6</v>
      </c>
      <c r="V37" s="74">
        <f>IF(K46=$O37,3*INDEX($H$11:$L$19,MATCH($O37,$G$11:$G$18,0),MATCH(V$5,$H$10:$L$10,0)),L$20-3*INDEX($H$11:$L$19,MATCH($O37,$G$11:$G$18,0),MATCH(V$5,$H$10:$L$10,0)))</f>
        <v>44</v>
      </c>
      <c r="W37" s="74">
        <f t="shared" si="1"/>
        <v>4181760</v>
      </c>
      <c r="X37" s="74">
        <f t="shared" si="19"/>
        <v>418176</v>
      </c>
      <c r="Y37" s="75">
        <f>(X37/$X$43)*Q37</f>
        <v>1.3381631999999999E-2</v>
      </c>
    </row>
    <row r="38" spans="1:26" ht="15">
      <c r="A38" s="37" t="s">
        <v>29</v>
      </c>
      <c r="B38" s="37" t="s">
        <v>35</v>
      </c>
      <c r="C38" s="37" t="s">
        <v>33</v>
      </c>
      <c r="D38" s="37" t="s">
        <v>29</v>
      </c>
      <c r="E38" s="37" t="s">
        <v>33</v>
      </c>
      <c r="F38" s="34"/>
      <c r="G38" s="73" t="s">
        <v>40</v>
      </c>
      <c r="H38" s="73" t="s">
        <v>40</v>
      </c>
      <c r="I38" s="73" t="s">
        <v>40</v>
      </c>
      <c r="J38" s="73" t="s">
        <v>97</v>
      </c>
      <c r="K38" s="73" t="s">
        <v>40</v>
      </c>
      <c r="L38" s="34"/>
      <c r="O38" s="45" t="s">
        <v>40</v>
      </c>
      <c r="P38" s="73">
        <v>3</v>
      </c>
      <c r="Q38" s="20">
        <f>'Game Description'!$C$23</f>
        <v>10</v>
      </c>
      <c r="R38" s="74">
        <f>IF(G47=$O38,3*INDEX($H$11:$L$19,MATCH($O38,$G$11:$G$18,0),MATCH(R$5,$H$10:$L$10,0)),H$20-3*INDEX($H$11:$L$19,MATCH($O38,$G$11:$G$18,0),MATCH(R$5,$H$10:$L$10,0)))</f>
        <v>44</v>
      </c>
      <c r="S38" s="74">
        <f>IF(H47=$O38,3*INDEX($H$11:$L$19,MATCH($O38,$G$11:$G$18,0),MATCH(S$5,$H$10:$L$10,0)),I$20-3*INDEX($H$11:$L$19,MATCH($O38,$G$11:$G$18,0),MATCH(S$5,$H$10:$L$10,0)))</f>
        <v>6</v>
      </c>
      <c r="T38" s="74">
        <f>IF(I47=$O38,3*INDEX($H$11:$L$19,MATCH($O38,$G$11:$G$18,0),MATCH(T$5,$H$10:$L$10,0)),J$20-3*INDEX($H$11:$L$19,MATCH($O38,$G$11:$G$18,0),MATCH(T$5,$H$10:$L$10,0)))</f>
        <v>6</v>
      </c>
      <c r="U38" s="74">
        <f>IF(J47=$O38,3*INDEX($H$11:$L$19,MATCH($O38,$G$11:$G$18,0),MATCH(U$5,$H$10:$L$10,0)),K$20-3*INDEX($H$11:$L$19,MATCH($O38,$G$11:$G$18,0),MATCH(U$5,$H$10:$L$10,0)))</f>
        <v>44</v>
      </c>
      <c r="V38" s="74">
        <f>IF(K47=$O38,3*INDEX($H$11:$L$19,MATCH($O38,$G$11:$G$18,0),MATCH(V$5,$H$10:$L$10,0)),L$20-3*INDEX($H$11:$L$19,MATCH($O38,$G$11:$G$18,0),MATCH(V$5,$H$10:$L$10,0)))</f>
        <v>6</v>
      </c>
      <c r="W38" s="74">
        <f t="shared" si="1"/>
        <v>4181760</v>
      </c>
      <c r="X38" s="74">
        <f t="shared" si="19"/>
        <v>418176</v>
      </c>
      <c r="Y38" s="75">
        <f>(X38/$X$43)*Q38</f>
        <v>1.3381631999999999E-2</v>
      </c>
    </row>
    <row r="39" spans="1:26" ht="15">
      <c r="A39" s="37" t="s">
        <v>35</v>
      </c>
      <c r="B39" s="37" t="s">
        <v>35</v>
      </c>
      <c r="C39" s="37" t="s">
        <v>35</v>
      </c>
      <c r="D39" s="81" t="s">
        <v>25</v>
      </c>
      <c r="E39" s="37" t="s">
        <v>33</v>
      </c>
      <c r="F39" s="34"/>
      <c r="G39" s="73" t="s">
        <v>40</v>
      </c>
      <c r="H39" s="73" t="s">
        <v>40</v>
      </c>
      <c r="I39" s="76" t="s">
        <v>97</v>
      </c>
      <c r="J39" s="73" t="s">
        <v>40</v>
      </c>
      <c r="K39" s="73" t="s">
        <v>40</v>
      </c>
      <c r="L39" s="34"/>
      <c r="O39" s="45" t="s">
        <v>40</v>
      </c>
      <c r="P39" s="73">
        <v>3</v>
      </c>
      <c r="Q39" s="20">
        <f>'Game Description'!$C$23</f>
        <v>10</v>
      </c>
      <c r="R39" s="74">
        <f>IF(G48=$O39,3*INDEX($H$11:$L$19,MATCH($O39,$G$11:$G$18,0),MATCH(R$5,$H$10:$L$10,0)),H$20-3*INDEX($H$11:$L$19,MATCH($O39,$G$11:$G$18,0),MATCH(R$5,$H$10:$L$10,0)))</f>
        <v>6</v>
      </c>
      <c r="S39" s="74">
        <f>IF(H48=$O39,3*INDEX($H$11:$L$19,MATCH($O39,$G$11:$G$18,0),MATCH(S$5,$H$10:$L$10,0)),I$20-3*INDEX($H$11:$L$19,MATCH($O39,$G$11:$G$18,0),MATCH(S$5,$H$10:$L$10,0)))</f>
        <v>6</v>
      </c>
      <c r="T39" s="74">
        <f>IF(I48=$O39,3*INDEX($H$11:$L$19,MATCH($O39,$G$11:$G$18,0),MATCH(T$5,$H$10:$L$10,0)),J$20-3*INDEX($H$11:$L$19,MATCH($O39,$G$11:$G$18,0),MATCH(T$5,$H$10:$L$10,0)))</f>
        <v>44</v>
      </c>
      <c r="U39" s="74">
        <f>IF(J48=$O39,3*INDEX($H$11:$L$19,MATCH($O39,$G$11:$G$18,0),MATCH(U$5,$H$10:$L$10,0)),K$20-3*INDEX($H$11:$L$19,MATCH($O39,$G$11:$G$18,0),MATCH(U$5,$H$10:$L$10,0)))</f>
        <v>44</v>
      </c>
      <c r="V39" s="74">
        <f>IF(K48=$O39,3*INDEX($H$11:$L$19,MATCH($O39,$G$11:$G$18,0),MATCH(V$5,$H$10:$L$10,0)),L$20-3*INDEX($H$11:$L$19,MATCH($O39,$G$11:$G$18,0),MATCH(V$5,$H$10:$L$10,0)))</f>
        <v>6</v>
      </c>
      <c r="W39" s="74">
        <f t="shared" si="1"/>
        <v>4181760</v>
      </c>
      <c r="X39" s="74">
        <f t="shared" si="19"/>
        <v>418176</v>
      </c>
      <c r="Y39" s="75">
        <f>(X39/$X$43)*Q39</f>
        <v>1.3381631999999999E-2</v>
      </c>
    </row>
    <row r="40" spans="1:26" ht="15">
      <c r="A40" s="43" t="s">
        <v>37</v>
      </c>
      <c r="B40" s="37" t="s">
        <v>33</v>
      </c>
      <c r="C40" s="37" t="s">
        <v>35</v>
      </c>
      <c r="D40" s="37" t="s">
        <v>29</v>
      </c>
      <c r="E40" s="37" t="s">
        <v>27</v>
      </c>
      <c r="F40" s="34"/>
      <c r="G40" s="73" t="s">
        <v>40</v>
      </c>
      <c r="H40" s="76" t="s">
        <v>97</v>
      </c>
      <c r="I40" s="73" t="s">
        <v>40</v>
      </c>
      <c r="J40" s="73" t="s">
        <v>40</v>
      </c>
      <c r="K40" s="73" t="s">
        <v>40</v>
      </c>
      <c r="L40" s="34"/>
      <c r="O40" s="45" t="s">
        <v>40</v>
      </c>
      <c r="P40" s="73">
        <v>3</v>
      </c>
      <c r="Q40" s="20">
        <f>'Game Description'!$C$23</f>
        <v>10</v>
      </c>
      <c r="R40" s="74">
        <f>IF(G49=$O40,3*INDEX($H$11:$L$19,MATCH($O40,$G$11:$G$18,0),MATCH(R$5,$H$10:$L$10,0)),H$20-3*INDEX($H$11:$L$19,MATCH($O40,$G$11:$G$18,0),MATCH(R$5,$H$10:$L$10,0)))</f>
        <v>6</v>
      </c>
      <c r="S40" s="74">
        <f>IF(H49=$O40,3*INDEX($H$11:$L$19,MATCH($O40,$G$11:$G$18,0),MATCH(S$5,$H$10:$L$10,0)),I$20-3*INDEX($H$11:$L$19,MATCH($O40,$G$11:$G$18,0),MATCH(S$5,$H$10:$L$10,0)))</f>
        <v>44</v>
      </c>
      <c r="T40" s="74">
        <f>IF(I49=$O40,3*INDEX($H$11:$L$19,MATCH($O40,$G$11:$G$18,0),MATCH(T$5,$H$10:$L$10,0)),J$20-3*INDEX($H$11:$L$19,MATCH($O40,$G$11:$G$18,0),MATCH(T$5,$H$10:$L$10,0)))</f>
        <v>44</v>
      </c>
      <c r="U40" s="74">
        <f>IF(J49=$O40,3*INDEX($H$11:$L$19,MATCH($O40,$G$11:$G$18,0),MATCH(U$5,$H$10:$L$10,0)),K$20-3*INDEX($H$11:$L$19,MATCH($O40,$G$11:$G$18,0),MATCH(U$5,$H$10:$L$10,0)))</f>
        <v>6</v>
      </c>
      <c r="V40" s="74">
        <f>IF(K49=$O40,3*INDEX($H$11:$L$19,MATCH($O40,$G$11:$G$18,0),MATCH(V$5,$H$10:$L$10,0)),L$20-3*INDEX($H$11:$L$19,MATCH($O40,$G$11:$G$18,0),MATCH(V$5,$H$10:$L$10,0)))</f>
        <v>6</v>
      </c>
      <c r="W40" s="74">
        <f t="shared" si="1"/>
        <v>4181760</v>
      </c>
      <c r="X40" s="74">
        <f t="shared" si="19"/>
        <v>418176</v>
      </c>
      <c r="Y40" s="75">
        <f>(X40/$X$43)*Q40</f>
        <v>1.3381631999999999E-2</v>
      </c>
    </row>
    <row r="41" spans="1:26" ht="15">
      <c r="A41" s="37" t="s">
        <v>33</v>
      </c>
      <c r="B41" s="37" t="s">
        <v>33</v>
      </c>
      <c r="C41" s="37" t="s">
        <v>33</v>
      </c>
      <c r="D41" s="37" t="s">
        <v>35</v>
      </c>
      <c r="E41" s="37" t="s">
        <v>27</v>
      </c>
      <c r="F41" s="34"/>
      <c r="G41" s="76" t="s">
        <v>97</v>
      </c>
      <c r="H41" s="73" t="s">
        <v>40</v>
      </c>
      <c r="I41" s="73" t="s">
        <v>40</v>
      </c>
      <c r="J41" s="73" t="s">
        <v>40</v>
      </c>
      <c r="K41" s="73" t="s">
        <v>40</v>
      </c>
      <c r="L41" s="34"/>
      <c r="O41" s="45" t="s">
        <v>40</v>
      </c>
      <c r="P41" s="73">
        <v>3</v>
      </c>
      <c r="Q41" s="20">
        <f>'Game Description'!$C$23</f>
        <v>10</v>
      </c>
      <c r="R41" s="74">
        <f>IF(G50=$O41,3*INDEX($H$11:$L$19,MATCH($O41,$G$11:$G$18,0),MATCH(R$5,$H$10:$L$10,0)),H$20-3*INDEX($H$11:$L$19,MATCH($O41,$G$11:$G$18,0),MATCH(R$5,$H$10:$L$10,0)))</f>
        <v>44</v>
      </c>
      <c r="S41" s="74">
        <f>IF(H50=$O41,3*INDEX($H$11:$L$19,MATCH($O41,$G$11:$G$18,0),MATCH(S$5,$H$10:$L$10,0)),I$20-3*INDEX($H$11:$L$19,MATCH($O41,$G$11:$G$18,0),MATCH(S$5,$H$10:$L$10,0)))</f>
        <v>44</v>
      </c>
      <c r="T41" s="74">
        <f>IF(I50=$O41,3*INDEX($H$11:$L$19,MATCH($O41,$G$11:$G$18,0),MATCH(T$5,$H$10:$L$10,0)),J$20-3*INDEX($H$11:$L$19,MATCH($O41,$G$11:$G$18,0),MATCH(T$5,$H$10:$L$10,0)))</f>
        <v>6</v>
      </c>
      <c r="U41" s="74">
        <f>IF(J50=$O41,3*INDEX($H$11:$L$19,MATCH($O41,$G$11:$G$18,0),MATCH(U$5,$H$10:$L$10,0)),K$20-3*INDEX($H$11:$L$19,MATCH($O41,$G$11:$G$18,0),MATCH(U$5,$H$10:$L$10,0)))</f>
        <v>6</v>
      </c>
      <c r="V41" s="74">
        <f>IF(K50=$O41,3*INDEX($H$11:$L$19,MATCH($O41,$G$11:$G$18,0),MATCH(V$5,$H$10:$L$10,0)),L$20-3*INDEX($H$11:$L$19,MATCH($O41,$G$11:$G$18,0),MATCH(V$5,$H$10:$L$10,0)))</f>
        <v>6</v>
      </c>
      <c r="W41" s="74">
        <f t="shared" si="1"/>
        <v>4181760</v>
      </c>
      <c r="X41" s="74">
        <f t="shared" si="19"/>
        <v>418176</v>
      </c>
      <c r="Y41" s="75">
        <f>(X41/$X$43)*Q41</f>
        <v>1.3381631999999999E-2</v>
      </c>
    </row>
    <row r="42" spans="1:26" ht="15">
      <c r="A42" s="37" t="s">
        <v>33</v>
      </c>
      <c r="B42" s="37" t="s">
        <v>33</v>
      </c>
      <c r="C42" s="37" t="s">
        <v>29</v>
      </c>
      <c r="D42" s="37" t="s">
        <v>29</v>
      </c>
      <c r="E42" s="81" t="s">
        <v>27</v>
      </c>
      <c r="F42" s="34"/>
      <c r="G42" s="73" t="s">
        <v>97</v>
      </c>
      <c r="H42" s="73" t="s">
        <v>40</v>
      </c>
      <c r="I42" s="73" t="s">
        <v>40</v>
      </c>
      <c r="J42" s="73" t="s">
        <v>40</v>
      </c>
      <c r="K42" s="73" t="s">
        <v>97</v>
      </c>
      <c r="L42" s="34"/>
      <c r="O42" s="45" t="s">
        <v>40</v>
      </c>
      <c r="P42" s="73">
        <v>3</v>
      </c>
      <c r="Q42" s="20">
        <f>'Game Description'!$C$23</f>
        <v>10</v>
      </c>
      <c r="R42" s="74">
        <f>IF(G51=$O42,3*INDEX($H$11:$L$19,MATCH($O42,$G$11:$G$18,0),MATCH(R$5,$H$10:$L$10,0)),H$20-3*INDEX($H$11:$L$19,MATCH($O42,$G$11:$G$18,0),MATCH(R$5,$H$10:$L$10,0)))</f>
        <v>6</v>
      </c>
      <c r="S42" s="74">
        <f>IF(H51=$O42,3*INDEX($H$11:$L$19,MATCH($O42,$G$11:$G$18,0),MATCH(S$5,$H$10:$L$10,0)),I$20-3*INDEX($H$11:$L$19,MATCH($O42,$G$11:$G$18,0),MATCH(S$5,$H$10:$L$10,0)))</f>
        <v>6</v>
      </c>
      <c r="T42" s="74">
        <f>IF(I51=$O42,3*INDEX($H$11:$L$19,MATCH($O42,$G$11:$G$18,0),MATCH(T$5,$H$10:$L$10,0)),J$20-3*INDEX($H$11:$L$19,MATCH($O42,$G$11:$G$18,0),MATCH(T$5,$H$10:$L$10,0)))</f>
        <v>6</v>
      </c>
      <c r="U42" s="74">
        <f>IF(J51=$O42,3*INDEX($H$11:$L$19,MATCH($O42,$G$11:$G$18,0),MATCH(U$5,$H$10:$L$10,0)),K$20-3*INDEX($H$11:$L$19,MATCH($O42,$G$11:$G$18,0),MATCH(U$5,$H$10:$L$10,0)))</f>
        <v>44</v>
      </c>
      <c r="V42" s="74">
        <f>IF(K51=$O42,3*INDEX($H$11:$L$19,MATCH($O42,$G$11:$G$18,0),MATCH(V$5,$H$10:$L$10,0)),L$20-3*INDEX($H$11:$L$19,MATCH($O42,$G$11:$G$18,0),MATCH(V$5,$H$10:$L$10,0)))</f>
        <v>44</v>
      </c>
      <c r="W42" s="74">
        <f t="shared" si="1"/>
        <v>4181760</v>
      </c>
      <c r="X42" s="74">
        <f t="shared" si="19"/>
        <v>418176</v>
      </c>
      <c r="Y42" s="75">
        <f>(X42/$X$43)*Q42</f>
        <v>1.3381631999999999E-2</v>
      </c>
    </row>
    <row r="43" spans="1:26" ht="15">
      <c r="A43" s="37" t="s">
        <v>33</v>
      </c>
      <c r="B43" s="37" t="s">
        <v>29</v>
      </c>
      <c r="C43" s="37" t="s">
        <v>29</v>
      </c>
      <c r="D43" s="37" t="s">
        <v>33</v>
      </c>
      <c r="E43" s="37" t="s">
        <v>23</v>
      </c>
      <c r="F43" s="34"/>
      <c r="G43" s="73" t="s">
        <v>40</v>
      </c>
      <c r="H43" s="73" t="s">
        <v>97</v>
      </c>
      <c r="I43" s="73" t="s">
        <v>40</v>
      </c>
      <c r="J43" s="73" t="s">
        <v>40</v>
      </c>
      <c r="K43" s="73" t="s">
        <v>97</v>
      </c>
      <c r="L43" s="34"/>
      <c r="W43">
        <f>SUM(W6:W42)</f>
        <v>179673810</v>
      </c>
      <c r="X43" s="77">
        <f>PRODUCT(H20:L20)</f>
        <v>312500000</v>
      </c>
      <c r="Y43" s="83">
        <f>SUM(Y6:Y42)+AL30</f>
        <v>0.57726172799999986</v>
      </c>
      <c r="Z43" s="78">
        <f>SUM(Y27:Y42)</f>
        <v>0.19187712000000004</v>
      </c>
    </row>
    <row r="44" spans="1:26" ht="15">
      <c r="A44" s="37" t="s">
        <v>31</v>
      </c>
      <c r="B44" s="37" t="s">
        <v>25</v>
      </c>
      <c r="C44" s="37" t="s">
        <v>29</v>
      </c>
      <c r="D44" s="37" t="s">
        <v>23</v>
      </c>
      <c r="E44" s="37" t="s">
        <v>23</v>
      </c>
      <c r="F44" s="34"/>
      <c r="G44" s="73" t="s">
        <v>97</v>
      </c>
      <c r="H44" s="73" t="s">
        <v>40</v>
      </c>
      <c r="I44" s="73" t="s">
        <v>97</v>
      </c>
      <c r="J44" s="73" t="s">
        <v>40</v>
      </c>
      <c r="K44" s="73" t="s">
        <v>40</v>
      </c>
      <c r="L44" s="34"/>
      <c r="M44" s="34"/>
      <c r="N44" s="34"/>
    </row>
    <row r="45" spans="1:26" ht="15">
      <c r="A45" s="37" t="s">
        <v>25</v>
      </c>
      <c r="B45" s="37" t="s">
        <v>29</v>
      </c>
      <c r="C45" s="37" t="s">
        <v>31</v>
      </c>
      <c r="D45" s="37" t="s">
        <v>35</v>
      </c>
      <c r="E45" s="37" t="s">
        <v>29</v>
      </c>
      <c r="F45" s="34"/>
      <c r="G45" s="73" t="s">
        <v>40</v>
      </c>
      <c r="H45" s="73" t="s">
        <v>97</v>
      </c>
      <c r="I45" s="73" t="s">
        <v>40</v>
      </c>
      <c r="J45" s="73" t="s">
        <v>97</v>
      </c>
      <c r="K45" s="73" t="s">
        <v>40</v>
      </c>
      <c r="L45" s="34"/>
      <c r="M45" s="34"/>
      <c r="N45" s="34"/>
      <c r="Q45" t="s">
        <v>98</v>
      </c>
      <c r="R45">
        <f>W43+AJ30</f>
        <v>180394290</v>
      </c>
      <c r="V45" s="90" t="s">
        <v>99</v>
      </c>
      <c r="W45" s="90"/>
      <c r="X45">
        <f>X43/SUM(X27:X42)</f>
        <v>69.837770769417801</v>
      </c>
    </row>
    <row r="46" spans="1:26" ht="15">
      <c r="A46" s="37" t="s">
        <v>27</v>
      </c>
      <c r="B46" s="37" t="s">
        <v>29</v>
      </c>
      <c r="C46" s="37" t="s">
        <v>29</v>
      </c>
      <c r="D46" s="37" t="s">
        <v>27</v>
      </c>
      <c r="E46" s="37" t="s">
        <v>33</v>
      </c>
      <c r="F46" s="34"/>
      <c r="G46" s="73" t="s">
        <v>40</v>
      </c>
      <c r="H46" s="73" t="s">
        <v>40</v>
      </c>
      <c r="I46" s="73" t="s">
        <v>97</v>
      </c>
      <c r="J46" s="73" t="s">
        <v>40</v>
      </c>
      <c r="K46" s="73" t="s">
        <v>97</v>
      </c>
      <c r="L46" s="34"/>
      <c r="M46" s="34"/>
      <c r="N46" s="34"/>
      <c r="Q46" t="s">
        <v>100</v>
      </c>
      <c r="R46">
        <f>X43</f>
        <v>312500000</v>
      </c>
    </row>
    <row r="47" spans="1:26" ht="15">
      <c r="A47" s="37" t="s">
        <v>25</v>
      </c>
      <c r="B47" s="37" t="s">
        <v>25</v>
      </c>
      <c r="C47" s="81" t="s">
        <v>29</v>
      </c>
      <c r="D47" s="37" t="s">
        <v>33</v>
      </c>
      <c r="E47" s="37" t="s">
        <v>25</v>
      </c>
      <c r="F47" s="34"/>
      <c r="G47" s="73" t="s">
        <v>97</v>
      </c>
      <c r="H47" s="73" t="s">
        <v>40</v>
      </c>
      <c r="I47" s="73" t="s">
        <v>40</v>
      </c>
      <c r="J47" s="73" t="s">
        <v>97</v>
      </c>
      <c r="K47" s="73" t="s">
        <v>40</v>
      </c>
      <c r="L47" s="34"/>
      <c r="M47" s="34"/>
      <c r="N47" s="34"/>
      <c r="Q47" t="s">
        <v>101</v>
      </c>
      <c r="R47" s="83">
        <f>R45/R46</f>
        <v>0.57726172799999997</v>
      </c>
    </row>
    <row r="48" spans="1:26" ht="15">
      <c r="A48" s="37" t="s">
        <v>31</v>
      </c>
      <c r="B48" s="37" t="s">
        <v>25</v>
      </c>
      <c r="C48" s="37" t="s">
        <v>35</v>
      </c>
      <c r="D48" s="37" t="s">
        <v>35</v>
      </c>
      <c r="E48" s="37" t="s">
        <v>25</v>
      </c>
      <c r="F48" s="34"/>
      <c r="G48" s="73" t="s">
        <v>40</v>
      </c>
      <c r="H48" s="73" t="s">
        <v>40</v>
      </c>
      <c r="I48" s="73" t="s">
        <v>97</v>
      </c>
      <c r="J48" s="73" t="s">
        <v>97</v>
      </c>
      <c r="K48" s="73" t="s">
        <v>40</v>
      </c>
      <c r="L48" s="34"/>
      <c r="M48" s="34"/>
      <c r="N48" s="34"/>
    </row>
    <row r="49" spans="1:23" ht="15">
      <c r="A49" s="37" t="s">
        <v>35</v>
      </c>
      <c r="B49" s="37" t="s">
        <v>29</v>
      </c>
      <c r="C49" s="37" t="s">
        <v>35</v>
      </c>
      <c r="D49" s="37" t="s">
        <v>27</v>
      </c>
      <c r="E49" s="37" t="s">
        <v>25</v>
      </c>
      <c r="F49" s="34"/>
      <c r="G49" s="73" t="s">
        <v>40</v>
      </c>
      <c r="H49" s="73" t="s">
        <v>97</v>
      </c>
      <c r="I49" s="73" t="s">
        <v>97</v>
      </c>
      <c r="J49" s="73" t="s">
        <v>40</v>
      </c>
      <c r="K49" s="73" t="s">
        <v>40</v>
      </c>
      <c r="L49" s="34"/>
      <c r="M49" s="34"/>
      <c r="N49" s="34"/>
      <c r="V49" t="s">
        <v>102</v>
      </c>
      <c r="W49" s="79">
        <f>Y43+FreeGameReel!W48</f>
        <v>0.95154251997202832</v>
      </c>
    </row>
    <row r="50" spans="1:23" ht="15">
      <c r="A50" s="37" t="s">
        <v>33</v>
      </c>
      <c r="B50" s="37" t="s">
        <v>25</v>
      </c>
      <c r="C50" s="43" t="s">
        <v>37</v>
      </c>
      <c r="D50" s="37" t="s">
        <v>33</v>
      </c>
      <c r="E50" s="37" t="s">
        <v>29</v>
      </c>
      <c r="F50" s="34"/>
      <c r="G50" s="73" t="s">
        <v>97</v>
      </c>
      <c r="H50" s="73" t="s">
        <v>97</v>
      </c>
      <c r="I50" s="73" t="s">
        <v>40</v>
      </c>
      <c r="J50" s="73" t="s">
        <v>40</v>
      </c>
      <c r="K50" s="73" t="s">
        <v>40</v>
      </c>
      <c r="L50" s="34"/>
      <c r="M50" s="34"/>
      <c r="N50" s="34"/>
    </row>
    <row r="51" spans="1:23" ht="15">
      <c r="A51" s="37" t="s">
        <v>35</v>
      </c>
      <c r="B51" s="43" t="s">
        <v>37</v>
      </c>
      <c r="C51" s="37" t="s">
        <v>31</v>
      </c>
      <c r="D51" s="37" t="s">
        <v>27</v>
      </c>
      <c r="E51" s="37" t="s">
        <v>33</v>
      </c>
      <c r="F51" s="34"/>
      <c r="G51" s="73" t="s">
        <v>40</v>
      </c>
      <c r="H51" s="73" t="s">
        <v>40</v>
      </c>
      <c r="I51" s="73" t="s">
        <v>40</v>
      </c>
      <c r="J51" s="73" t="s">
        <v>97</v>
      </c>
      <c r="K51" s="73" t="s">
        <v>97</v>
      </c>
      <c r="L51" s="34"/>
      <c r="M51" s="34"/>
      <c r="N51" s="34"/>
    </row>
    <row r="52" spans="1:23" ht="15">
      <c r="A52" s="37" t="s">
        <v>35</v>
      </c>
      <c r="B52" s="37" t="s">
        <v>35</v>
      </c>
      <c r="C52" s="37" t="s">
        <v>27</v>
      </c>
      <c r="D52" s="37" t="s">
        <v>31</v>
      </c>
      <c r="E52" s="37" t="s">
        <v>27</v>
      </c>
      <c r="F52" s="34"/>
      <c r="G52" s="34"/>
      <c r="H52" s="34"/>
      <c r="I52" s="34"/>
      <c r="J52" s="34"/>
      <c r="K52" s="34"/>
      <c r="L52" s="34"/>
      <c r="M52" s="34"/>
      <c r="N52" s="34"/>
    </row>
    <row r="53" spans="1:23" ht="15">
      <c r="F53" s="34"/>
      <c r="G53" s="34"/>
      <c r="H53" s="34"/>
      <c r="I53" s="34"/>
      <c r="L53" s="34"/>
      <c r="M53" s="34"/>
      <c r="N53" s="34"/>
    </row>
    <row r="54" spans="1:23" ht="15">
      <c r="F54" s="34"/>
      <c r="L54" s="34"/>
      <c r="M54" s="34"/>
      <c r="N54" s="34"/>
    </row>
    <row r="55" spans="1:23" ht="15">
      <c r="F55" s="34"/>
      <c r="L55" s="34"/>
      <c r="M55" s="34"/>
      <c r="N55" s="34"/>
    </row>
    <row r="56" spans="1:23" ht="15">
      <c r="F56" s="34"/>
      <c r="L56" s="34"/>
      <c r="M56" s="34"/>
      <c r="N56" s="34"/>
    </row>
    <row r="57" spans="1:23" ht="15">
      <c r="F57" s="34"/>
      <c r="L57" s="34"/>
      <c r="M57" s="34"/>
      <c r="N57" s="34"/>
    </row>
    <row r="58" spans="1:23" ht="15">
      <c r="F58" s="34"/>
      <c r="L58" s="34"/>
      <c r="M58" s="34"/>
      <c r="N58" s="34"/>
    </row>
    <row r="59" spans="1:23" ht="15">
      <c r="F59" s="34"/>
      <c r="L59" s="34"/>
      <c r="M59" s="34"/>
      <c r="N59" s="34"/>
    </row>
    <row r="60" spans="1:23" ht="15">
      <c r="F60" s="34"/>
      <c r="L60" s="34"/>
      <c r="M60" s="34"/>
      <c r="N60" s="34"/>
    </row>
    <row r="61" spans="1:23" ht="15">
      <c r="F61" s="34"/>
      <c r="L61" s="34"/>
      <c r="M61" s="34"/>
      <c r="N61" s="34"/>
    </row>
    <row r="62" spans="1:23" ht="15">
      <c r="F62" s="34"/>
      <c r="L62" s="34"/>
      <c r="M62" s="34"/>
      <c r="N62" s="34"/>
    </row>
    <row r="63" spans="1:23" ht="15">
      <c r="F63" s="34"/>
      <c r="M63" s="34"/>
      <c r="N63" s="34"/>
    </row>
    <row r="64" spans="1:23" ht="15">
      <c r="F64" s="34"/>
      <c r="M64" s="34"/>
      <c r="N64" s="34"/>
    </row>
    <row r="65" spans="6:14" ht="15">
      <c r="F65" s="34"/>
      <c r="M65" s="34"/>
      <c r="N65" s="34"/>
    </row>
    <row r="66" spans="6:14" ht="15">
      <c r="F66" s="34"/>
      <c r="M66" s="34"/>
      <c r="N66" s="34"/>
    </row>
    <row r="67" spans="6:14" ht="15">
      <c r="F67" s="34"/>
      <c r="M67" s="34"/>
      <c r="N67" s="34"/>
    </row>
    <row r="68" spans="6:14" ht="15">
      <c r="F68" s="34"/>
      <c r="M68" s="34"/>
      <c r="N68" s="34"/>
    </row>
    <row r="69" spans="6:14" ht="15">
      <c r="F69" s="34"/>
      <c r="M69" s="34"/>
      <c r="N69" s="34"/>
    </row>
    <row r="70" spans="6:14" ht="15">
      <c r="F70" s="34"/>
      <c r="M70" s="34"/>
      <c r="N70" s="34"/>
    </row>
    <row r="71" spans="6:14" ht="15">
      <c r="F71" s="34"/>
      <c r="M71" s="34"/>
      <c r="N71" s="34"/>
    </row>
    <row r="72" spans="6:14" ht="15">
      <c r="F72" s="34"/>
      <c r="M72" s="34"/>
      <c r="N72" s="34"/>
    </row>
    <row r="73" spans="6:14" ht="15">
      <c r="F73" s="34"/>
      <c r="M73" s="34"/>
      <c r="N73" s="34"/>
    </row>
    <row r="74" spans="6:14" ht="15">
      <c r="F74" s="34"/>
    </row>
    <row r="75" spans="6:14" ht="15"/>
    <row r="76" spans="6:14" ht="15"/>
  </sheetData>
  <mergeCells count="2">
    <mergeCell ref="G35:K35"/>
    <mergeCell ref="V45:W45"/>
  </mergeCells>
  <conditionalFormatting sqref="A1:N1 A2:I12 A13:N18 A19:F1048576 M19:N1048576 O44:Y44 O45:V45 X45:Y45 O46:Y1048576 G9:L1048576 AN1:XFD5 AN21:XFD1048576 AM1:AM27 Z30:AM1048576 Z7:AI29 AK28:AM29 AK7:AL27">
    <cfRule type="containsText" dxfId="25" priority="8" operator="containsText" text="SC">
      <formula>NOT(ISERROR(SEARCH("SC",A1)))</formula>
    </cfRule>
    <cfRule type="containsText" dxfId="24" priority="10" operator="containsText" text="WD">
      <formula>NOT(ISERROR(SEARCH("WD",A1)))</formula>
    </cfRule>
  </conditionalFormatting>
  <conditionalFormatting sqref="AN6:XFD20">
    <cfRule type="containsText" dxfId="23" priority="5" operator="containsText" text="SC">
      <formula>NOT(ISERROR(SEARCH("SC",AN6)))</formula>
    </cfRule>
    <cfRule type="containsText" dxfId="22" priority="6" operator="containsText" text="WD">
      <formula>NOT(ISERROR(SEARCH("WD",AN6)))</formula>
    </cfRule>
  </conditionalFormatting>
  <conditionalFormatting sqref="O1:AL1 P2:AL4 P5:Z5 AC5:AL5 P6:AL6 U7:V7 R9:V9 P9:P12 Q9:Q26 U10:V10 R10:T11 R12:V12 U13:V13 R13:T14 O13:P26 R15:V15 U16:V16 R16:T17 R18:V18 U19:V19 R19:T20 R21:V21 U22:V22 R22:T23 R24:V24 U25:V25 R25:T26 O27:V42 O43:Y43 P7:T8 W7:Y42 AJ7:AJ29">
    <cfRule type="containsText" dxfId="21" priority="1" operator="containsText" text="SC">
      <formula>NOT(ISERROR(SEARCH("SC",O1)))</formula>
    </cfRule>
    <cfRule type="containsText" dxfId="20" priority="2" operator="containsText" text="WD">
      <formula>NOT(ISERROR(SEARCH("WD",O1)))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82"/>
  <sheetViews>
    <sheetView topLeftCell="A24" zoomScale="90" zoomScaleNormal="90" workbookViewId="0">
      <selection activeCell="A3" sqref="A3:E52"/>
    </sheetView>
  </sheetViews>
  <sheetFormatPr defaultColWidth="8.7109375" defaultRowHeight="15" customHeight="1"/>
  <cols>
    <col min="1" max="3" width="8.7109375" style="1"/>
    <col min="5" max="7" width="8.7109375" style="2"/>
    <col min="23" max="24" width="12.5703125" bestFit="1" customWidth="1"/>
    <col min="25" max="26" width="10.42578125" bestFit="1" customWidth="1"/>
    <col min="30" max="30" width="13.7109375" customWidth="1"/>
    <col min="31" max="31" width="21.140625" customWidth="1"/>
    <col min="36" max="36" width="12.5703125" bestFit="1" customWidth="1"/>
    <col min="38" max="38" width="10.42578125" bestFit="1" customWidth="1"/>
    <col min="39" max="39" width="9.7109375" bestFit="1" customWidth="1"/>
  </cols>
  <sheetData>
    <row r="1" spans="1:39" ht="14.45" customHeight="1">
      <c r="A1" s="34"/>
      <c r="B1" s="35" t="s">
        <v>87</v>
      </c>
      <c r="C1" s="35"/>
      <c r="D1" s="34"/>
      <c r="E1" s="34"/>
      <c r="F1" s="34"/>
      <c r="G1" s="34"/>
      <c r="H1" s="34"/>
      <c r="I1" s="34"/>
      <c r="J1" s="34"/>
      <c r="K1" s="34"/>
      <c r="L1" s="34"/>
      <c r="M1" s="34"/>
      <c r="N1" s="35"/>
    </row>
    <row r="2" spans="1:39" ht="14.45" customHeight="1">
      <c r="A2" s="36" t="s">
        <v>42</v>
      </c>
      <c r="B2" s="36" t="s">
        <v>43</v>
      </c>
      <c r="C2" s="36" t="s">
        <v>44</v>
      </c>
      <c r="D2" s="36" t="s">
        <v>45</v>
      </c>
      <c r="E2" s="36" t="s">
        <v>46</v>
      </c>
      <c r="F2" s="34"/>
      <c r="G2" s="34"/>
      <c r="H2" s="34"/>
      <c r="I2" s="34"/>
    </row>
    <row r="3" spans="1:39" ht="14.45" customHeight="1">
      <c r="A3" s="37" t="s">
        <v>35</v>
      </c>
      <c r="B3" s="37" t="s">
        <v>31</v>
      </c>
      <c r="C3" s="37" t="s">
        <v>33</v>
      </c>
      <c r="D3" s="37" t="s">
        <v>29</v>
      </c>
      <c r="E3" s="37" t="s">
        <v>31</v>
      </c>
      <c r="F3" s="34"/>
      <c r="G3" s="34"/>
      <c r="H3" s="34"/>
      <c r="I3" s="34"/>
      <c r="Q3" t="s">
        <v>53</v>
      </c>
      <c r="R3">
        <v>20</v>
      </c>
      <c r="T3" t="s">
        <v>103</v>
      </c>
      <c r="U3">
        <v>10</v>
      </c>
    </row>
    <row r="4" spans="1:39" ht="14.45" customHeight="1">
      <c r="A4" s="37" t="s">
        <v>35</v>
      </c>
      <c r="B4" s="37" t="s">
        <v>31</v>
      </c>
      <c r="C4" s="37" t="s">
        <v>33</v>
      </c>
      <c r="D4" s="37" t="s">
        <v>35</v>
      </c>
      <c r="E4" s="37" t="s">
        <v>31</v>
      </c>
      <c r="F4" s="34"/>
      <c r="G4" s="34"/>
      <c r="H4" s="34"/>
      <c r="I4" s="34"/>
    </row>
    <row r="5" spans="1:39" ht="14.45" customHeight="1">
      <c r="A5" s="37" t="s">
        <v>35</v>
      </c>
      <c r="B5" s="37" t="s">
        <v>31</v>
      </c>
      <c r="C5" s="37" t="s">
        <v>33</v>
      </c>
      <c r="D5" s="37" t="s">
        <v>31</v>
      </c>
      <c r="E5" s="37" t="s">
        <v>31</v>
      </c>
      <c r="F5" s="34"/>
      <c r="G5" s="34"/>
      <c r="H5" s="34"/>
      <c r="I5" s="34"/>
      <c r="O5" s="72" t="s">
        <v>89</v>
      </c>
      <c r="P5" s="72" t="s">
        <v>90</v>
      </c>
      <c r="Q5" s="72" t="s">
        <v>91</v>
      </c>
      <c r="R5" s="72" t="s">
        <v>42</v>
      </c>
      <c r="S5" s="72" t="s">
        <v>43</v>
      </c>
      <c r="T5" s="72" t="s">
        <v>44</v>
      </c>
      <c r="U5" s="72" t="s">
        <v>45</v>
      </c>
      <c r="V5" s="72" t="s">
        <v>46</v>
      </c>
      <c r="W5" s="72"/>
      <c r="X5" s="72" t="s">
        <v>92</v>
      </c>
      <c r="Y5" s="72" t="s">
        <v>93</v>
      </c>
      <c r="AA5" s="72" t="s">
        <v>89</v>
      </c>
      <c r="AB5" s="72" t="s">
        <v>94</v>
      </c>
      <c r="AC5" s="72" t="s">
        <v>90</v>
      </c>
      <c r="AD5" s="72" t="s">
        <v>91</v>
      </c>
      <c r="AE5" s="72" t="s">
        <v>42</v>
      </c>
      <c r="AF5" s="72" t="s">
        <v>43</v>
      </c>
      <c r="AG5" s="72" t="s">
        <v>44</v>
      </c>
      <c r="AH5" s="72" t="s">
        <v>45</v>
      </c>
      <c r="AI5" s="72" t="s">
        <v>46</v>
      </c>
      <c r="AJ5" s="72"/>
      <c r="AK5" s="72" t="s">
        <v>92</v>
      </c>
      <c r="AL5" s="72" t="s">
        <v>93</v>
      </c>
    </row>
    <row r="6" spans="1:39" ht="14.45" customHeight="1">
      <c r="A6" s="37" t="s">
        <v>31</v>
      </c>
      <c r="B6" s="37" t="s">
        <v>23</v>
      </c>
      <c r="C6" s="37" t="s">
        <v>33</v>
      </c>
      <c r="D6" s="37" t="s">
        <v>31</v>
      </c>
      <c r="E6" s="37" t="s">
        <v>25</v>
      </c>
      <c r="F6" s="34"/>
      <c r="G6" s="34"/>
      <c r="H6" s="34"/>
      <c r="I6" s="34"/>
      <c r="O6" s="73" t="s">
        <v>23</v>
      </c>
      <c r="P6" s="73">
        <v>5</v>
      </c>
      <c r="Q6" s="20">
        <f>'Game Description'!E15</f>
        <v>200</v>
      </c>
      <c r="R6" s="74">
        <f>INDEX($H$11:$L$19,MATCH($O6,$G$11:$G$18,0),MATCH(R$5,$H$10:$L$10,0))+H$19</f>
        <v>10</v>
      </c>
      <c r="S6" s="74">
        <f>INDEX($H$11:$L$19,MATCH($O6,$G$11:$G$18,0),MATCH(S$5,$H$10:$L$10,0))+I$19</f>
        <v>11</v>
      </c>
      <c r="T6" s="74">
        <f>INDEX($H$11:$L$19,MATCH($O6,$G$11:$G$18,0),MATCH(T$5,$H$10:$L$10,0))+J$19</f>
        <v>10</v>
      </c>
      <c r="U6" s="74">
        <f>INDEX($H$11:$L$19,MATCH($O6,$G$11:$G$18,0),MATCH(U$5,$H$10:$L$10,0))+K$19</f>
        <v>10</v>
      </c>
      <c r="V6" s="74">
        <f>INDEX($H$11:$L$19,MATCH($O6,$G$11:$G$18,0),MATCH(V$5,$H$10:$L$10,0))+L$19</f>
        <v>10</v>
      </c>
      <c r="W6" s="74">
        <f>X6*Q6</f>
        <v>17276800</v>
      </c>
      <c r="X6" s="74">
        <f>PRODUCT(R6:V6)-AK6-AK8-AK27</f>
        <v>86384</v>
      </c>
      <c r="Y6" s="75">
        <f>(X6/$X$43)*Q6</f>
        <v>5.5285760000000003E-2</v>
      </c>
      <c r="AA6" s="73" t="s">
        <v>37</v>
      </c>
      <c r="AB6" s="73" t="s">
        <v>23</v>
      </c>
      <c r="AC6" s="73">
        <v>4</v>
      </c>
      <c r="AD6" s="20">
        <f>'Game Description'!$D$22</f>
        <v>400</v>
      </c>
      <c r="AE6" s="74">
        <f>INDEX($H$11:$L$19,MATCH($AA6,$G$11:$G$19,0),MATCH(R$5,$H$10:$L$10,0))</f>
        <v>6</v>
      </c>
      <c r="AF6" s="74">
        <f>INDEX($H$11:$L$19,MATCH($AA6,$G$11:$G$19,0),MATCH(S$5,$H$10:$L$10,0))</f>
        <v>8</v>
      </c>
      <c r="AG6" s="74">
        <f>INDEX($H$11:$L$19,MATCH($AA6,$G$11:$G$19,0),MATCH(T$5,$H$10:$L$10,0))</f>
        <v>6</v>
      </c>
      <c r="AH6" s="74">
        <f>INDEX($H$11:$L$19,MATCH($AA6,$G$11:$G$19,0),MATCH(U$5,$H$10:$L$10,0))</f>
        <v>7</v>
      </c>
      <c r="AI6" s="74">
        <f>INDEX($H$11:$L$19,MATCH("AA",$G$11:$G$19,0),MATCH(AI$5,$H$10:$L$10,0))</f>
        <v>4</v>
      </c>
      <c r="AJ6" s="74">
        <f>AL6*$X$43</f>
        <v>3225600</v>
      </c>
      <c r="AK6" s="74">
        <f t="shared" ref="AK6:AK26" si="0">PRODUCT(AE6:AI6)</f>
        <v>8064</v>
      </c>
      <c r="AL6" s="75">
        <f>IF(AD6&gt;Q6,AD6,Q6)*(AK6/$X$43)</f>
        <v>1.032192E-2</v>
      </c>
    </row>
    <row r="7" spans="1:39" ht="14.45" customHeight="1">
      <c r="A7" s="37" t="s">
        <v>25</v>
      </c>
      <c r="B7" s="37" t="s">
        <v>23</v>
      </c>
      <c r="C7" s="37" t="s">
        <v>35</v>
      </c>
      <c r="D7" s="37" t="s">
        <v>40</v>
      </c>
      <c r="E7" s="37" t="s">
        <v>31</v>
      </c>
      <c r="F7" s="34"/>
      <c r="G7" s="34"/>
      <c r="H7" s="34"/>
      <c r="I7" s="34"/>
      <c r="O7" s="73" t="s">
        <v>23</v>
      </c>
      <c r="P7" s="73">
        <v>4</v>
      </c>
      <c r="Q7" s="20">
        <f>'Game Description'!D15</f>
        <v>100</v>
      </c>
      <c r="R7" s="74">
        <f>INDEX($H$11:$L$19,MATCH($O7,$G$11:$G$18,0),MATCH(R$5,$H$10:$L$10,0))+H$19</f>
        <v>10</v>
      </c>
      <c r="S7" s="74">
        <f>INDEX($H$11:$L$19,MATCH($O7,$G$11:$G$18,0),MATCH(S$5,$H$10:$L$10,0))+I$19</f>
        <v>11</v>
      </c>
      <c r="T7" s="74">
        <f>INDEX($H$11:$L$19,MATCH($O7,$G$11:$G$18,0),MATCH(T$5,$H$10:$L$10,0))+J$19</f>
        <v>10</v>
      </c>
      <c r="U7" s="74">
        <f>INDEX($H$11:$L$19,MATCH($O7,$G$11:$G$18,0),MATCH(U$5,$H$10:$L$10,0))+K$19</f>
        <v>10</v>
      </c>
      <c r="V7" s="74">
        <f>L$20-(L$19+INDEX($H$11:$L$19,MATCH($O7,$G$11:$G$17,0),MATCH(V$5,$H$10:$L$10,0)))</f>
        <v>40</v>
      </c>
      <c r="W7" s="74">
        <f t="shared" ref="W7:W42" si="1">X7*Q7</f>
        <v>32480000</v>
      </c>
      <c r="X7" s="74">
        <f>PRODUCT(R7:V7)-PRODUCT($H$19:$K$19)*$V7-$AK7</f>
        <v>324800</v>
      </c>
      <c r="Y7" s="75">
        <f>(X7/$X$43)*Q7</f>
        <v>0.103936</v>
      </c>
      <c r="AA7" s="73" t="s">
        <v>37</v>
      </c>
      <c r="AB7" s="73" t="s">
        <v>23</v>
      </c>
      <c r="AC7" s="73">
        <v>3</v>
      </c>
      <c r="AD7" s="20">
        <f>'Game Description'!$C$22</f>
        <v>40</v>
      </c>
      <c r="AE7" s="74">
        <f>INDEX($H$11:$L$19,MATCH($AA7,$G$11:$G$19,0),MATCH(R$5,$H$10:$L$10,0))</f>
        <v>6</v>
      </c>
      <c r="AF7" s="74">
        <f>INDEX($H$11:$L$19,MATCH($AA7,$G$11:$G$19,0),MATCH(S$5,$H$10:$L$10,0))</f>
        <v>8</v>
      </c>
      <c r="AG7" s="74">
        <f>INDEX($H$11:$L$19,MATCH($AA7,$G$11:$G$19,0),MATCH(T$5,$H$10:$L$10,0))</f>
        <v>6</v>
      </c>
      <c r="AH7" s="74">
        <f>INDEX($H$11:$L$19,MATCH("AA",$G$11:$G$19,0),MATCH(AH$5,$H$10:$L$10,0))</f>
        <v>3</v>
      </c>
      <c r="AI7" s="74">
        <f>$L$20-L$19-L11</f>
        <v>40</v>
      </c>
      <c r="AJ7" s="74">
        <f t="shared" ref="AJ7:AJ29" si="2">AL7*$X$43</f>
        <v>3456000</v>
      </c>
      <c r="AK7" s="74">
        <f>PRODUCT(AE7:AI7)</f>
        <v>34560</v>
      </c>
      <c r="AL7" s="75">
        <f>IF(AD7&gt;Q7,AD7,Q7)*(AK7/$X$43)</f>
        <v>1.10592E-2</v>
      </c>
    </row>
    <row r="8" spans="1:39" ht="14.45" customHeight="1">
      <c r="A8" s="37" t="s">
        <v>37</v>
      </c>
      <c r="B8" s="37" t="s">
        <v>35</v>
      </c>
      <c r="C8" s="37" t="s">
        <v>40</v>
      </c>
      <c r="D8" s="37" t="s">
        <v>25</v>
      </c>
      <c r="E8" s="37" t="s">
        <v>27</v>
      </c>
      <c r="F8" s="34"/>
      <c r="G8" s="34"/>
      <c r="H8" s="34"/>
      <c r="I8" s="34"/>
      <c r="O8" s="73" t="s">
        <v>23</v>
      </c>
      <c r="P8" s="73">
        <v>3</v>
      </c>
      <c r="Q8" s="20">
        <f>'Game Description'!C15</f>
        <v>20</v>
      </c>
      <c r="R8" s="74">
        <f>INDEX($H$11:$L$19,MATCH($O8,$G$11:$G$18,0),MATCH(R$5,$H$10:$L$10,0))+H$19</f>
        <v>10</v>
      </c>
      <c r="S8" s="74">
        <f>INDEX($H$11:$L$19,MATCH($O8,$G$11:$G$18,0),MATCH(S$5,$H$10:$L$10,0))+I$19</f>
        <v>11</v>
      </c>
      <c r="T8" s="74">
        <f>INDEX($H$11:$L$19,MATCH($O8,$G$11:$G$18,0),MATCH(T$5,$H$10:$L$10,0))+J$19</f>
        <v>10</v>
      </c>
      <c r="U8" s="74">
        <f>K$20-(K$19+INDEX($H$11:$L$19,MATCH($O8,$G$11:$G$18,0),MATCH(U$5,$H$10:$L$10,0)))</f>
        <v>40</v>
      </c>
      <c r="V8" s="74">
        <f>$L$20</f>
        <v>50</v>
      </c>
      <c r="W8" s="74">
        <f t="shared" si="1"/>
        <v>32480000</v>
      </c>
      <c r="X8" s="74">
        <f>PRODUCT(R8:V8)- PRODUCT($H$19:$J$19)*U8*V8</f>
        <v>1624000</v>
      </c>
      <c r="Y8" s="75">
        <f>(X8/$X$43)*Q8</f>
        <v>0.103936</v>
      </c>
      <c r="Z8" s="79"/>
      <c r="AA8" s="73" t="s">
        <v>37</v>
      </c>
      <c r="AB8" s="73" t="s">
        <v>23</v>
      </c>
      <c r="AC8" s="73">
        <v>3</v>
      </c>
      <c r="AD8" s="20">
        <f>'Game Description'!$C$22</f>
        <v>40</v>
      </c>
      <c r="AE8" s="74">
        <f>INDEX($H$11:$L$19,MATCH($AA8,$G$11:$G$19,0),MATCH(R$5,$H$10:$L$10,0))</f>
        <v>6</v>
      </c>
      <c r="AF8" s="74">
        <f>INDEX($H$11:$L$19,MATCH($AA8,$G$11:$G$19,0),MATCH(S$5,$H$10:$L$10,0))</f>
        <v>8</v>
      </c>
      <c r="AG8" s="74">
        <f>INDEX($H$11:$L$19,MATCH($AA8,$G$11:$G$19,0),MATCH(T$5,$H$10:$L$10,0))</f>
        <v>6</v>
      </c>
      <c r="AH8" s="74">
        <f>INDEX($H$11:$L$19,MATCH("AA",$G$11:$G$19,0),MATCH(AH$5,$H$10:$L$10,0))</f>
        <v>3</v>
      </c>
      <c r="AI8" s="74">
        <f>L11</f>
        <v>4</v>
      </c>
      <c r="AJ8" s="74">
        <f t="shared" si="2"/>
        <v>691200</v>
      </c>
      <c r="AK8" s="74">
        <f>PRODUCT(AE8:AI8)</f>
        <v>3456</v>
      </c>
      <c r="AL8" s="75">
        <f>IF(AD8&gt;Q6,AD8,Q6)*(AK8/$X$43)</f>
        <v>2.2118400000000001E-3</v>
      </c>
      <c r="AM8" s="78"/>
    </row>
    <row r="9" spans="1:39" ht="14.45" customHeight="1">
      <c r="A9" s="37" t="s">
        <v>37</v>
      </c>
      <c r="B9" s="37" t="s">
        <v>27</v>
      </c>
      <c r="C9" s="37" t="s">
        <v>25</v>
      </c>
      <c r="D9" s="37" t="s">
        <v>31</v>
      </c>
      <c r="E9" s="37" t="s">
        <v>33</v>
      </c>
      <c r="F9" s="34"/>
      <c r="G9" s="34" t="s">
        <v>95</v>
      </c>
      <c r="H9" s="34"/>
      <c r="I9" s="34"/>
      <c r="J9" s="34"/>
      <c r="K9" s="34"/>
      <c r="O9" s="73" t="s">
        <v>25</v>
      </c>
      <c r="P9" s="73">
        <v>5</v>
      </c>
      <c r="Q9" s="20">
        <f>'Game Description'!E16</f>
        <v>200</v>
      </c>
      <c r="R9" s="74">
        <f>INDEX($H$11:$L$19,MATCH($O9,$G$11:$G$18,0),MATCH(R$5,$H$10:$L$10,0))+H$19</f>
        <v>9</v>
      </c>
      <c r="S9" s="74">
        <f>INDEX($H$11:$L$19,MATCH($O9,$G$11:$G$18,0),MATCH(S$5,$H$10:$L$10,0))+I$19</f>
        <v>12</v>
      </c>
      <c r="T9" s="74">
        <f>INDEX($H$11:$L$19,MATCH($O9,$G$11:$G$18,0),MATCH(T$5,$H$10:$L$10,0))+J$19</f>
        <v>10</v>
      </c>
      <c r="U9" s="74">
        <f>INDEX($H$11:$L$19,MATCH($O9,$G$11:$G$18,0),MATCH(U$5,$H$10:$L$10,0))+K$19</f>
        <v>10</v>
      </c>
      <c r="V9" s="74">
        <f>INDEX($H$11:$L$19,MATCH($O9,$G$11:$G$18,0),MATCH(V$5,$H$10:$L$10,0))+L$19</f>
        <v>9</v>
      </c>
      <c r="W9" s="74">
        <f t="shared" si="1"/>
        <v>15292800</v>
      </c>
      <c r="X9" s="74">
        <f>PRODUCT(R9:V9)-AK9-AK11-AK27</f>
        <v>76464</v>
      </c>
      <c r="Y9" s="75">
        <f>(X9/$X$43)*Q9</f>
        <v>4.8936960000000002E-2</v>
      </c>
      <c r="Z9" s="78">
        <f>SUM(Y6:Y8)</f>
        <v>0.26315776000000002</v>
      </c>
      <c r="AA9" s="73" t="s">
        <v>37</v>
      </c>
      <c r="AB9" s="73" t="s">
        <v>25</v>
      </c>
      <c r="AC9" s="73">
        <v>4</v>
      </c>
      <c r="AD9" s="20">
        <f>'Game Description'!$D$22</f>
        <v>400</v>
      </c>
      <c r="AE9" s="74">
        <f>INDEX($H$11:$L$19,MATCH($AA9,$G$11:$G$19,0),MATCH(R$5,$H$10:$L$10,0))</f>
        <v>6</v>
      </c>
      <c r="AF9" s="74">
        <f>INDEX($H$11:$L$19,MATCH($AA9,$G$11:$G$19,0),MATCH(S$5,$H$10:$L$10,0))</f>
        <v>8</v>
      </c>
      <c r="AG9" s="74">
        <f>INDEX($H$11:$L$19,MATCH($AA9,$G$11:$G$19,0),MATCH(T$5,$H$10:$L$10,0))</f>
        <v>6</v>
      </c>
      <c r="AH9" s="74">
        <f>INDEX($H$11:$L$19,MATCH($AA9,$G$11:$G$19,0),MATCH(U$5,$H$10:$L$10,0))</f>
        <v>7</v>
      </c>
      <c r="AI9" s="74">
        <f>INDEX($H$11:$L$19,MATCH("BB",$G$11:$G$19,0),MATCH(AI$5,$H$10:$L$10,0))</f>
        <v>3</v>
      </c>
      <c r="AJ9" s="74">
        <f t="shared" si="2"/>
        <v>2419200</v>
      </c>
      <c r="AK9" s="74">
        <f t="shared" si="0"/>
        <v>6048</v>
      </c>
      <c r="AL9" s="75">
        <f>IF(AD9&gt;Q9,AD9,Q9)*(AK9/$X$43)</f>
        <v>7.7414400000000005E-3</v>
      </c>
    </row>
    <row r="10" spans="1:39" ht="14.45" customHeight="1">
      <c r="A10" s="37" t="s">
        <v>23</v>
      </c>
      <c r="B10" s="37" t="s">
        <v>31</v>
      </c>
      <c r="C10" s="37" t="s">
        <v>25</v>
      </c>
      <c r="D10" s="37" t="s">
        <v>31</v>
      </c>
      <c r="E10" s="37" t="s">
        <v>31</v>
      </c>
      <c r="F10" s="34"/>
      <c r="G10" s="33" t="s">
        <v>89</v>
      </c>
      <c r="H10" s="33" t="s">
        <v>42</v>
      </c>
      <c r="I10" s="33" t="s">
        <v>43</v>
      </c>
      <c r="J10" s="33" t="s">
        <v>44</v>
      </c>
      <c r="K10" s="33" t="s">
        <v>45</v>
      </c>
      <c r="L10" s="33" t="s">
        <v>46</v>
      </c>
      <c r="O10" s="73" t="s">
        <v>25</v>
      </c>
      <c r="P10" s="73">
        <v>4</v>
      </c>
      <c r="Q10" s="20">
        <f>'Game Description'!D16</f>
        <v>100</v>
      </c>
      <c r="R10" s="74">
        <f>INDEX($H$11:$L$19,MATCH($O10,$G$11:$G$18,0),MATCH(R$5,$H$10:$L$10,0))+H$19</f>
        <v>9</v>
      </c>
      <c r="S10" s="74">
        <f>INDEX($H$11:$L$19,MATCH($O10,$G$11:$G$18,0),MATCH(S$5,$H$10:$L$10,0))+I$19</f>
        <v>12</v>
      </c>
      <c r="T10" s="74">
        <f>INDEX($H$11:$L$19,MATCH($O10,$G$11:$G$18,0),MATCH(T$5,$H$10:$L$10,0))+J$19</f>
        <v>10</v>
      </c>
      <c r="U10" s="74">
        <f>INDEX($H$11:$L$19,MATCH($O10,$G$11:$G$18,0),MATCH(U$5,$H$10:$L$10,0))+K$19</f>
        <v>10</v>
      </c>
      <c r="V10" s="74">
        <f>L$20-(L$19+INDEX($H$11:$L$19,MATCH($O10,$G$11:$G$17,0),MATCH(V$5,$H$10:$L$10,0)))</f>
        <v>41</v>
      </c>
      <c r="W10" s="74">
        <f t="shared" si="1"/>
        <v>32472000</v>
      </c>
      <c r="X10" s="74">
        <f>PRODUCT(R10:V10)-PRODUCT($H$19:$K$19)*$V10-$AK10</f>
        <v>324720</v>
      </c>
      <c r="Y10" s="75">
        <f>(X10/$X$43)*Q10</f>
        <v>0.10391039999999999</v>
      </c>
      <c r="AA10" s="73" t="s">
        <v>37</v>
      </c>
      <c r="AB10" s="73" t="s">
        <v>25</v>
      </c>
      <c r="AC10" s="73">
        <v>3</v>
      </c>
      <c r="AD10" s="20">
        <f>'Game Description'!$C$22</f>
        <v>40</v>
      </c>
      <c r="AE10" s="74">
        <f>INDEX($H$11:$L$19,MATCH($AA10,$G$11:$G$19,0),MATCH(R$5,$H$10:$L$10,0))</f>
        <v>6</v>
      </c>
      <c r="AF10" s="74">
        <f>INDEX($H$11:$L$19,MATCH($AA10,$G$11:$G$19,0),MATCH(S$5,$H$10:$L$10,0))</f>
        <v>8</v>
      </c>
      <c r="AG10" s="74">
        <f>INDEX($H$11:$L$19,MATCH($AA10,$G$11:$G$19,0),MATCH(T$5,$H$10:$L$10,0))</f>
        <v>6</v>
      </c>
      <c r="AH10" s="74">
        <f>INDEX($H$11:$L$19,MATCH("BB",$G$11:$G$19,0),MATCH(AH$5,$H$10:$L$10,0))</f>
        <v>3</v>
      </c>
      <c r="AI10" s="74">
        <f>$L$20-L$19-L12</f>
        <v>41</v>
      </c>
      <c r="AJ10" s="74">
        <f t="shared" si="2"/>
        <v>3542400.0000000005</v>
      </c>
      <c r="AK10" s="74">
        <f t="shared" si="0"/>
        <v>35424</v>
      </c>
      <c r="AL10" s="75">
        <f>IF(AD10&gt;Q10,AD10,Q10)*(AK10/$X$43)</f>
        <v>1.1335680000000001E-2</v>
      </c>
    </row>
    <row r="11" spans="1:39" ht="14.45" customHeight="1">
      <c r="A11" s="37" t="s">
        <v>23</v>
      </c>
      <c r="B11" s="37" t="s">
        <v>40</v>
      </c>
      <c r="C11" s="37" t="s">
        <v>25</v>
      </c>
      <c r="D11" s="37" t="s">
        <v>35</v>
      </c>
      <c r="E11" s="37" t="s">
        <v>40</v>
      </c>
      <c r="F11" s="34"/>
      <c r="G11" s="2" t="s">
        <v>23</v>
      </c>
      <c r="H11">
        <f>COUNTIF(A$1:A$899,$G11)</f>
        <v>4</v>
      </c>
      <c r="I11">
        <f>COUNTIF(B$1:B$899,$G11)</f>
        <v>3</v>
      </c>
      <c r="J11">
        <f>COUNTIF(C$1:C$899,$G11)</f>
        <v>4</v>
      </c>
      <c r="K11">
        <f>COUNTIF(D$1:D$899,$G11)</f>
        <v>3</v>
      </c>
      <c r="L11">
        <f>COUNTIF(E$1:E$899,$G11)</f>
        <v>4</v>
      </c>
      <c r="O11" s="73" t="s">
        <v>25</v>
      </c>
      <c r="P11" s="73">
        <v>3</v>
      </c>
      <c r="Q11" s="20">
        <f>'Game Description'!C16</f>
        <v>20</v>
      </c>
      <c r="R11" s="74">
        <f>INDEX($H$11:$L$19,MATCH($O11,$G$11:$G$18,0),MATCH(R$5,$H$10:$L$10,0))+H$19</f>
        <v>9</v>
      </c>
      <c r="S11" s="74">
        <f>INDEX($H$11:$L$19,MATCH($O11,$G$11:$G$18,0),MATCH(S$5,$H$10:$L$10,0))+I$19</f>
        <v>12</v>
      </c>
      <c r="T11" s="74">
        <f>INDEX($H$11:$L$19,MATCH($O11,$G$11:$G$18,0),MATCH(T$5,$H$10:$L$10,0))+J$19</f>
        <v>10</v>
      </c>
      <c r="U11" s="74">
        <f>K$20-(K$19+INDEX($H$11:$L$19,MATCH($O11,$G$11:$G$18,0),MATCH(U$5,$H$10:$L$10,0)))</f>
        <v>40</v>
      </c>
      <c r="V11" s="74">
        <f t="shared" ref="V11" si="3">$L$20</f>
        <v>50</v>
      </c>
      <c r="W11" s="74">
        <f t="shared" si="1"/>
        <v>31680000</v>
      </c>
      <c r="X11" s="74">
        <f>PRODUCT(R11:V11)- PRODUCT($H$19:$J$19)*U11*V11</f>
        <v>1584000</v>
      </c>
      <c r="Y11" s="80">
        <f>X11/$X$43*Q11</f>
        <v>0.10137599999999999</v>
      </c>
      <c r="AA11" s="73" t="s">
        <v>37</v>
      </c>
      <c r="AB11" s="73" t="s">
        <v>25</v>
      </c>
      <c r="AC11" s="73">
        <v>3</v>
      </c>
      <c r="AD11" s="20">
        <f>'Game Description'!$C$22</f>
        <v>40</v>
      </c>
      <c r="AE11" s="74">
        <f>INDEX($H$11:$L$19,MATCH($AA11,$G$11:$G$19,0),MATCH(R$5,$H$10:$L$10,0))</f>
        <v>6</v>
      </c>
      <c r="AF11" s="74">
        <f>INDEX($H$11:$L$19,MATCH($AA11,$G$11:$G$19,0),MATCH(S$5,$H$10:$L$10,0))</f>
        <v>8</v>
      </c>
      <c r="AG11" s="74">
        <f>INDEX($H$11:$L$19,MATCH($AA11,$G$11:$G$19,0),MATCH(T$5,$H$10:$L$10,0))</f>
        <v>6</v>
      </c>
      <c r="AH11" s="74">
        <f>INDEX($H$11:$L$19,MATCH("BB",$G$11:$G$19,0),MATCH(AH$5,$H$10:$L$10,0))</f>
        <v>3</v>
      </c>
      <c r="AI11" s="74">
        <f>L12</f>
        <v>3</v>
      </c>
      <c r="AJ11" s="74">
        <f t="shared" si="2"/>
        <v>518400</v>
      </c>
      <c r="AK11" s="74">
        <f t="shared" si="0"/>
        <v>2592</v>
      </c>
      <c r="AL11" s="75">
        <f>IF(AD11&gt;Q9,AD11,Q9)*(AK11/$X$43)</f>
        <v>1.6588799999999999E-3</v>
      </c>
      <c r="AM11" s="79"/>
    </row>
    <row r="12" spans="1:39" ht="14.45" customHeight="1">
      <c r="A12" s="37" t="s">
        <v>23</v>
      </c>
      <c r="B12" s="37" t="s">
        <v>23</v>
      </c>
      <c r="C12" s="37" t="s">
        <v>35</v>
      </c>
      <c r="D12" s="37" t="s">
        <v>27</v>
      </c>
      <c r="E12" s="37" t="s">
        <v>35</v>
      </c>
      <c r="F12" s="34"/>
      <c r="G12" s="2" t="s">
        <v>25</v>
      </c>
      <c r="H12">
        <f>COUNTIF(A$1:A$899,$G12)</f>
        <v>3</v>
      </c>
      <c r="I12">
        <f>COUNTIF(B$1:B$899,$G12)</f>
        <v>4</v>
      </c>
      <c r="J12">
        <f>COUNTIF(C$1:C$899,$G12)</f>
        <v>4</v>
      </c>
      <c r="K12">
        <f>COUNTIF(D$1:D$899,$G12)</f>
        <v>3</v>
      </c>
      <c r="L12">
        <f>COUNTIF(E$1:E$899,$G12)</f>
        <v>3</v>
      </c>
      <c r="O12" s="73" t="s">
        <v>27</v>
      </c>
      <c r="P12" s="73">
        <v>5</v>
      </c>
      <c r="Q12" s="20">
        <f>'Game Description'!E17</f>
        <v>200</v>
      </c>
      <c r="R12" s="74">
        <f>INDEX($H$11:$L$19,MATCH($O12,$G$11:$G$18,0),MATCH(R$5,$H$10:$L$10,0))+H$19</f>
        <v>10</v>
      </c>
      <c r="S12" s="74">
        <f>INDEX($H$11:$L$19,MATCH($O12,$G$11:$G$18,0),MATCH(S$5,$H$10:$L$10,0))+I$19</f>
        <v>10</v>
      </c>
      <c r="T12" s="74">
        <f>INDEX($H$11:$L$19,MATCH($O12,$G$11:$G$18,0),MATCH(T$5,$H$10:$L$10,0))+J$19</f>
        <v>10</v>
      </c>
      <c r="U12" s="74">
        <f>INDEX($H$11:$L$19,MATCH($O12,$G$11:$G$18,0),MATCH(U$5,$H$10:$L$10,0))+K$19</f>
        <v>11</v>
      </c>
      <c r="V12" s="74">
        <f>INDEX($H$11:$L$19,MATCH($O12,$G$11:$G$18,0),MATCH(V$5,$H$10:$L$10,0))+L$19</f>
        <v>10</v>
      </c>
      <c r="W12" s="74">
        <f t="shared" si="1"/>
        <v>17046400</v>
      </c>
      <c r="X12" s="74">
        <f>PRODUCT(R12:V12)-AK12-AK14-AK27</f>
        <v>85232</v>
      </c>
      <c r="Y12" s="75">
        <f>(X12/$X$43)*Q12</f>
        <v>5.4548479999999996E-2</v>
      </c>
      <c r="Z12" s="84">
        <f>SUM(Y9:Y11)</f>
        <v>0.25422336000000001</v>
      </c>
      <c r="AA12" s="73" t="s">
        <v>37</v>
      </c>
      <c r="AB12" s="73" t="s">
        <v>27</v>
      </c>
      <c r="AC12" s="73">
        <v>4</v>
      </c>
      <c r="AD12" s="20">
        <f>'Game Description'!$D$22</f>
        <v>400</v>
      </c>
      <c r="AE12" s="74">
        <f>INDEX($H$11:$L$19,MATCH($AA12,$G$11:$G$19,0),MATCH(R$5,$H$10:$L$10,0))</f>
        <v>6</v>
      </c>
      <c r="AF12" s="74">
        <f>INDEX($H$11:$L$19,MATCH($AA12,$G$11:$G$19,0),MATCH(S$5,$H$10:$L$10,0))</f>
        <v>8</v>
      </c>
      <c r="AG12" s="74">
        <f>INDEX($H$11:$L$19,MATCH($AA12,$G$11:$G$19,0),MATCH(T$5,$H$10:$L$10,0))</f>
        <v>6</v>
      </c>
      <c r="AH12" s="74">
        <f>INDEX($H$11:$L$19,MATCH($AA12,$G$11:$G$19,0),MATCH(U$5,$H$10:$L$10,0))</f>
        <v>7</v>
      </c>
      <c r="AI12" s="74">
        <f>INDEX($H$11:$L$19,MATCH("CC",$G$11:$G$19,0),MATCH(AI$5,$H$10:$L$10,0))</f>
        <v>4</v>
      </c>
      <c r="AJ12" s="74">
        <f t="shared" si="2"/>
        <v>3225600</v>
      </c>
      <c r="AK12" s="74">
        <f t="shared" si="0"/>
        <v>8064</v>
      </c>
      <c r="AL12" s="75">
        <f>IF(AD12&gt;Q12,AD12,Q12)*(AK12/$X$43)</f>
        <v>1.032192E-2</v>
      </c>
    </row>
    <row r="13" spans="1:39" ht="14.45" customHeight="1">
      <c r="A13" s="37" t="s">
        <v>37</v>
      </c>
      <c r="B13" s="37" t="s">
        <v>33</v>
      </c>
      <c r="C13" s="37" t="s">
        <v>23</v>
      </c>
      <c r="D13" s="43" t="s">
        <v>37</v>
      </c>
      <c r="E13" s="37" t="s">
        <v>29</v>
      </c>
      <c r="F13" s="34"/>
      <c r="G13" s="2" t="s">
        <v>27</v>
      </c>
      <c r="H13">
        <f>COUNTIF(A$1:A$899,$G13)</f>
        <v>4</v>
      </c>
      <c r="I13">
        <f>COUNTIF(B$1:B$899,$G13)</f>
        <v>2</v>
      </c>
      <c r="J13">
        <f>COUNTIF(C$1:C$899,$G13)</f>
        <v>4</v>
      </c>
      <c r="K13">
        <f>COUNTIF(D$1:D$899,$G13)</f>
        <v>4</v>
      </c>
      <c r="L13">
        <f>COUNTIF(E$1:E$899,$G13)</f>
        <v>4</v>
      </c>
      <c r="N13" s="34"/>
      <c r="O13" s="73" t="s">
        <v>27</v>
      </c>
      <c r="P13" s="73">
        <v>4</v>
      </c>
      <c r="Q13" s="20">
        <f>'Game Description'!D17</f>
        <v>100</v>
      </c>
      <c r="R13" s="74">
        <f>INDEX($H$11:$L$19,MATCH($O13,$G$11:$G$18,0),MATCH(R$5,$H$10:$L$10,0))+H$19</f>
        <v>10</v>
      </c>
      <c r="S13" s="74">
        <f>INDEX($H$11:$L$19,MATCH($O13,$G$11:$G$18,0),MATCH(S$5,$H$10:$L$10,0))+I$19</f>
        <v>10</v>
      </c>
      <c r="T13" s="74">
        <f>INDEX($H$11:$L$19,MATCH($O13,$G$11:$G$18,0),MATCH(T$5,$H$10:$L$10,0))+J$19</f>
        <v>10</v>
      </c>
      <c r="U13" s="74">
        <f>INDEX($H$11:$L$19,MATCH($O13,$G$11:$G$18,0),MATCH(U$5,$H$10:$L$10,0))+K$19</f>
        <v>11</v>
      </c>
      <c r="V13" s="74">
        <f>L$20-(L$19+INDEX($H$11:$L$19,MATCH($O13,$G$11:$G$17,0),MATCH(V$5,$H$10:$L$10,0)))</f>
        <v>40</v>
      </c>
      <c r="W13" s="74">
        <f t="shared" si="1"/>
        <v>31328000</v>
      </c>
      <c r="X13" s="74">
        <f>PRODUCT(R13:V13)-PRODUCT($H$19:$K$19)*$V13-$AK13</f>
        <v>313280</v>
      </c>
      <c r="Y13" s="75">
        <f>(X13/$X$43)*Q13</f>
        <v>0.10024960000000001</v>
      </c>
      <c r="AA13" s="73" t="s">
        <v>37</v>
      </c>
      <c r="AB13" s="73" t="s">
        <v>27</v>
      </c>
      <c r="AC13" s="73">
        <v>3</v>
      </c>
      <c r="AD13" s="20">
        <f>'Game Description'!$C$22</f>
        <v>40</v>
      </c>
      <c r="AE13" s="74">
        <f>INDEX($H$11:$L$19,MATCH($AA13,$G$11:$G$19,0),MATCH(R$5,$H$10:$L$10,0))</f>
        <v>6</v>
      </c>
      <c r="AF13" s="74">
        <f>INDEX($H$11:$L$19,MATCH($AA13,$G$11:$G$19,0),MATCH(S$5,$H$10:$L$10,0))</f>
        <v>8</v>
      </c>
      <c r="AG13" s="74">
        <f>INDEX($H$11:$L$19,MATCH($AA13,$G$11:$G$19,0),MATCH(T$5,$H$10:$L$10,0))</f>
        <v>6</v>
      </c>
      <c r="AH13" s="74">
        <f>INDEX($H$11:$L$19,MATCH("CC",$G$11:$G$19,0),MATCH(AH$5,$H$10:$L$10,0))</f>
        <v>4</v>
      </c>
      <c r="AI13" s="74">
        <f>$L$20-L$19-L13</f>
        <v>40</v>
      </c>
      <c r="AJ13" s="74">
        <f t="shared" si="2"/>
        <v>4608000</v>
      </c>
      <c r="AK13" s="74">
        <f t="shared" si="0"/>
        <v>46080</v>
      </c>
      <c r="AL13" s="75">
        <f>IF(AD13&gt;Q13,AD13,Q13)*(AK13/$X$43)</f>
        <v>1.4745599999999999E-2</v>
      </c>
    </row>
    <row r="14" spans="1:39" ht="14.45" customHeight="1">
      <c r="A14" s="37" t="s">
        <v>35</v>
      </c>
      <c r="B14" s="37" t="s">
        <v>37</v>
      </c>
      <c r="C14" s="37" t="s">
        <v>23</v>
      </c>
      <c r="D14" s="37" t="s">
        <v>35</v>
      </c>
      <c r="E14" s="37" t="s">
        <v>37</v>
      </c>
      <c r="F14" s="34"/>
      <c r="G14" s="2" t="s">
        <v>29</v>
      </c>
      <c r="H14">
        <f>COUNTIF(A$1:A$899,$G14)</f>
        <v>6</v>
      </c>
      <c r="I14">
        <f>COUNTIF(B$1:B$899,$G14)</f>
        <v>5</v>
      </c>
      <c r="J14">
        <f>COUNTIF(C$1:C$899,$G14)</f>
        <v>7</v>
      </c>
      <c r="K14">
        <f>COUNTIF(D$1:D$899,$G14)</f>
        <v>7</v>
      </c>
      <c r="L14">
        <f>COUNTIF(E$1:E$899,$G14)</f>
        <v>6</v>
      </c>
      <c r="O14" s="73" t="s">
        <v>27</v>
      </c>
      <c r="P14" s="73">
        <v>3</v>
      </c>
      <c r="Q14" s="20">
        <f>'Game Description'!C17</f>
        <v>20</v>
      </c>
      <c r="R14" s="74">
        <f>INDEX($H$11:$L$19,MATCH($O14,$G$11:$G$18,0),MATCH(R$5,$H$10:$L$10,0))+H$19</f>
        <v>10</v>
      </c>
      <c r="S14" s="74">
        <f>INDEX($H$11:$L$19,MATCH($O14,$G$11:$G$18,0),MATCH(S$5,$H$10:$L$10,0))+I$19</f>
        <v>10</v>
      </c>
      <c r="T14" s="74">
        <f>INDEX($H$11:$L$19,MATCH($O14,$G$11:$G$18,0),MATCH(T$5,$H$10:$L$10,0))+J$19</f>
        <v>10</v>
      </c>
      <c r="U14" s="74">
        <f>K$20-(K$19+INDEX($H$11:$L$19,MATCH($O14,$G$11:$G$18,0),MATCH(U$5,$H$10:$L$10,0)))</f>
        <v>39</v>
      </c>
      <c r="V14" s="74">
        <f t="shared" ref="V14" si="4">$L$20</f>
        <v>50</v>
      </c>
      <c r="W14" s="74">
        <f t="shared" si="1"/>
        <v>27768000</v>
      </c>
      <c r="X14" s="74">
        <f>PRODUCT(R14:V14)- PRODUCT($H$19:$J$19)*U14*V14</f>
        <v>1388400</v>
      </c>
      <c r="Y14" s="75">
        <f>(X14/$X$43)*Q14</f>
        <v>8.8857599999999995E-2</v>
      </c>
      <c r="AA14" s="73" t="s">
        <v>37</v>
      </c>
      <c r="AB14" s="73" t="s">
        <v>27</v>
      </c>
      <c r="AC14" s="73">
        <v>3</v>
      </c>
      <c r="AD14" s="20">
        <f>'Game Description'!$C$22</f>
        <v>40</v>
      </c>
      <c r="AE14" s="74">
        <f>INDEX($H$11:$L$19,MATCH($AA14,$G$11:$G$19,0),MATCH(R$5,$H$10:$L$10,0))</f>
        <v>6</v>
      </c>
      <c r="AF14" s="74">
        <f>INDEX($H$11:$L$19,MATCH($AA14,$G$11:$G$19,0),MATCH(S$5,$H$10:$L$10,0))</f>
        <v>8</v>
      </c>
      <c r="AG14" s="74">
        <f>INDEX($H$11:$L$19,MATCH($AA14,$G$11:$G$19,0),MATCH(T$5,$H$10:$L$10,0))</f>
        <v>6</v>
      </c>
      <c r="AH14" s="74">
        <f>INDEX($H$11:$L$19,MATCH("CC",$G$11:$G$19,0),MATCH(AH$5,$H$10:$L$10,0))</f>
        <v>4</v>
      </c>
      <c r="AI14" s="74">
        <f>L13</f>
        <v>4</v>
      </c>
      <c r="AJ14" s="74">
        <f t="shared" si="2"/>
        <v>921600</v>
      </c>
      <c r="AK14" s="74">
        <f t="shared" si="0"/>
        <v>4608</v>
      </c>
      <c r="AL14" s="75">
        <f>IF(AD14&gt;Q12,AD14,Q12)*(AK14/$X$43)</f>
        <v>2.94912E-3</v>
      </c>
      <c r="AM14" s="78"/>
    </row>
    <row r="15" spans="1:39" ht="14.45" customHeight="1">
      <c r="A15" s="37" t="s">
        <v>40</v>
      </c>
      <c r="B15" s="37" t="s">
        <v>35</v>
      </c>
      <c r="C15" s="37" t="s">
        <v>23</v>
      </c>
      <c r="D15" s="37" t="s">
        <v>35</v>
      </c>
      <c r="E15" s="37" t="s">
        <v>37</v>
      </c>
      <c r="F15" s="34"/>
      <c r="G15" s="2" t="s">
        <v>31</v>
      </c>
      <c r="H15">
        <f>COUNTIF(A$1:A$899,$G15)</f>
        <v>6</v>
      </c>
      <c r="I15">
        <f>COUNTIF(B$1:B$899,$G15)</f>
        <v>7</v>
      </c>
      <c r="J15">
        <f>COUNTIF(C$1:C$899,$G15)</f>
        <v>5</v>
      </c>
      <c r="K15">
        <f>COUNTIF(D$1:D$899,$G15)</f>
        <v>7</v>
      </c>
      <c r="L15">
        <f>COUNTIF(E$1:E$899,$G15)</f>
        <v>7</v>
      </c>
      <c r="M15" s="34"/>
      <c r="N15" s="34"/>
      <c r="O15" s="73" t="s">
        <v>29</v>
      </c>
      <c r="P15" s="73">
        <v>5</v>
      </c>
      <c r="Q15" s="20">
        <f>'Game Description'!E18</f>
        <v>100</v>
      </c>
      <c r="R15" s="74">
        <f>INDEX($H$11:$L$19,MATCH($O15,$G$11:$G$18,0),MATCH(R$5,$H$10:$L$10,0))+H$19</f>
        <v>12</v>
      </c>
      <c r="S15" s="74">
        <f>INDEX($H$11:$L$19,MATCH($O15,$G$11:$G$18,0),MATCH(S$5,$H$10:$L$10,0))+I$19</f>
        <v>13</v>
      </c>
      <c r="T15" s="74">
        <f>INDEX($H$11:$L$19,MATCH($O15,$G$11:$G$18,0),MATCH(T$5,$H$10:$L$10,0))+J$19</f>
        <v>13</v>
      </c>
      <c r="U15" s="74">
        <f>INDEX($H$11:$L$19,MATCH($O15,$G$11:$G$18,0),MATCH(U$5,$H$10:$L$10,0))+K$19</f>
        <v>14</v>
      </c>
      <c r="V15" s="74">
        <f>INDEX($H$11:$L$19,MATCH($O15,$G$11:$G$18,0),MATCH(V$5,$H$10:$L$10,0))+L$19</f>
        <v>12</v>
      </c>
      <c r="W15" s="74">
        <f t="shared" si="1"/>
        <v>30441600</v>
      </c>
      <c r="X15" s="74">
        <f>PRODUCT(R15:V15)-AK15-AK17-AK27</f>
        <v>304416</v>
      </c>
      <c r="Y15" s="75">
        <f>(X15/$X$43)*Q15</f>
        <v>9.7413120000000006E-2</v>
      </c>
      <c r="Z15" s="78">
        <f t="shared" ref="Z15" si="5">SUM(Y12:Y14)</f>
        <v>0.24365567999999999</v>
      </c>
      <c r="AA15" s="73" t="s">
        <v>37</v>
      </c>
      <c r="AB15" s="73" t="s">
        <v>29</v>
      </c>
      <c r="AC15" s="73">
        <v>4</v>
      </c>
      <c r="AD15" s="20">
        <f>'Game Description'!$D$22</f>
        <v>400</v>
      </c>
      <c r="AE15" s="74">
        <f>INDEX($H$11:$L$19,MATCH($AA15,$G$11:$G$19,0),MATCH(R$5,$H$10:$L$10,0))</f>
        <v>6</v>
      </c>
      <c r="AF15" s="74">
        <f>INDEX($H$11:$L$19,MATCH($AA15,$G$11:$G$19,0),MATCH(S$5,$H$10:$L$10,0))</f>
        <v>8</v>
      </c>
      <c r="AG15" s="74">
        <f>INDEX($H$11:$L$19,MATCH($AA15,$G$11:$G$19,0),MATCH(T$5,$H$10:$L$10,0))</f>
        <v>6</v>
      </c>
      <c r="AH15" s="74">
        <f>INDEX($H$11:$L$19,MATCH($AA15,$G$11:$G$19,0),MATCH(U$5,$H$10:$L$10,0))</f>
        <v>7</v>
      </c>
      <c r="AI15" s="74">
        <f>INDEX($H$11:$L$19,MATCH("DD",$G$11:$G$19,0),MATCH(AI$5,$H$10:$L$10,0))</f>
        <v>6</v>
      </c>
      <c r="AJ15" s="74">
        <f t="shared" si="2"/>
        <v>4838400</v>
      </c>
      <c r="AK15" s="74">
        <f t="shared" si="0"/>
        <v>12096</v>
      </c>
      <c r="AL15" s="75">
        <f>IF(AD15&gt;Q15,AD15,Q15)*(AK15/$X$43)</f>
        <v>1.5482880000000001E-2</v>
      </c>
    </row>
    <row r="16" spans="1:39" ht="14.45" customHeight="1">
      <c r="A16" s="37" t="s">
        <v>29</v>
      </c>
      <c r="B16" s="37" t="s">
        <v>35</v>
      </c>
      <c r="C16" s="37" t="s">
        <v>27</v>
      </c>
      <c r="D16" s="37" t="s">
        <v>31</v>
      </c>
      <c r="E16" s="37" t="s">
        <v>29</v>
      </c>
      <c r="F16" s="34"/>
      <c r="G16" s="2" t="s">
        <v>33</v>
      </c>
      <c r="H16">
        <f>COUNTIF(A$1:A$899,$G16)</f>
        <v>9</v>
      </c>
      <c r="I16">
        <f>COUNTIF(B$1:B$899,$G16)</f>
        <v>9</v>
      </c>
      <c r="J16">
        <f>COUNTIF(C$1:C$899,$G16)</f>
        <v>9</v>
      </c>
      <c r="K16">
        <f>COUNTIF(D$1:D$899,$G16)</f>
        <v>9</v>
      </c>
      <c r="L16">
        <f>COUNTIF(E$1:E$899,$G16)</f>
        <v>9</v>
      </c>
      <c r="O16" s="73" t="s">
        <v>29</v>
      </c>
      <c r="P16" s="73">
        <v>4</v>
      </c>
      <c r="Q16" s="20">
        <f>'Game Description'!D18</f>
        <v>20</v>
      </c>
      <c r="R16" s="74">
        <f>INDEX($H$11:$L$19,MATCH($O16,$G$11:$G$18,0),MATCH(R$5,$H$10:$L$10,0))+H$19</f>
        <v>12</v>
      </c>
      <c r="S16" s="74">
        <f>INDEX($H$11:$L$19,MATCH($O16,$G$11:$G$18,0),MATCH(S$5,$H$10:$L$10,0))+I$19</f>
        <v>13</v>
      </c>
      <c r="T16" s="74">
        <f>INDEX($H$11:$L$19,MATCH($O16,$G$11:$G$18,0),MATCH(T$5,$H$10:$L$10,0))+J$19</f>
        <v>13</v>
      </c>
      <c r="U16" s="74">
        <f>INDEX($H$11:$L$19,MATCH($O16,$G$11:$G$18,0),MATCH(U$5,$H$10:$L$10,0))+K$19</f>
        <v>14</v>
      </c>
      <c r="V16" s="74">
        <f>L$20-(L$19+INDEX($H$11:$L$19,MATCH($O16,$G$11:$G$17,0),MATCH(V$5,$H$10:$L$10,0)))</f>
        <v>38</v>
      </c>
      <c r="W16" s="74">
        <f t="shared" si="1"/>
        <v>18513600</v>
      </c>
      <c r="X16" s="74">
        <f>PRODUCT(R16:V16)-PRODUCT($H$19:$K$19)*$V16-$AK16</f>
        <v>925680</v>
      </c>
      <c r="Y16" s="75">
        <f>(X16/$X$43)*Q16</f>
        <v>5.9243520000000001E-2</v>
      </c>
      <c r="AA16" s="73" t="s">
        <v>37</v>
      </c>
      <c r="AB16" s="73" t="s">
        <v>29</v>
      </c>
      <c r="AC16" s="73">
        <v>3</v>
      </c>
      <c r="AD16" s="20">
        <f>'Game Description'!$C$22</f>
        <v>40</v>
      </c>
      <c r="AE16" s="74">
        <f>INDEX($H$11:$L$19,MATCH($AA16,$G$11:$G$19,0),MATCH(R$5,$H$10:$L$10,0))</f>
        <v>6</v>
      </c>
      <c r="AF16" s="74">
        <f>INDEX($H$11:$L$19,MATCH($AA16,$G$11:$G$19,0),MATCH(S$5,$H$10:$L$10,0))</f>
        <v>8</v>
      </c>
      <c r="AG16" s="74">
        <f>INDEX($H$11:$L$19,MATCH($AA16,$G$11:$G$19,0),MATCH(T$5,$H$10:$L$10,0))</f>
        <v>6</v>
      </c>
      <c r="AH16" s="74">
        <f>INDEX($H$11:$L$19,MATCH("DD",$G$11:$G$19,0),MATCH(AH$5,$H$10:$L$10,0))</f>
        <v>7</v>
      </c>
      <c r="AI16" s="74">
        <f>$L$20-L$19-L14</f>
        <v>38</v>
      </c>
      <c r="AJ16" s="74">
        <f t="shared" si="2"/>
        <v>3064320</v>
      </c>
      <c r="AK16" s="74">
        <f t="shared" si="0"/>
        <v>76608</v>
      </c>
      <c r="AL16" s="75">
        <f>IF(AD16&gt;Q16,AD16,Q16)*(AK16/$X$43)</f>
        <v>9.8058239999999994E-3</v>
      </c>
    </row>
    <row r="17" spans="1:39" ht="14.45" customHeight="1">
      <c r="A17" s="37" t="s">
        <v>29</v>
      </c>
      <c r="B17" s="37" t="s">
        <v>27</v>
      </c>
      <c r="C17" s="37" t="s">
        <v>27</v>
      </c>
      <c r="D17" s="37" t="s">
        <v>35</v>
      </c>
      <c r="E17" s="37" t="s">
        <v>35</v>
      </c>
      <c r="F17" s="34"/>
      <c r="G17" s="41" t="s">
        <v>35</v>
      </c>
      <c r="H17">
        <f>COUNTIF(A$1:A$899,$G17)</f>
        <v>10</v>
      </c>
      <c r="I17">
        <f>COUNTIF(B$1:B$899,$G17)</f>
        <v>10</v>
      </c>
      <c r="J17">
        <f>COUNTIF(C$1:C$899,$G17)</f>
        <v>9</v>
      </c>
      <c r="K17">
        <f>COUNTIF(D$1:D$899,$G17)</f>
        <v>8</v>
      </c>
      <c r="L17">
        <f>COUNTIF(E$1:E$899,$G17)</f>
        <v>8</v>
      </c>
      <c r="O17" s="73" t="s">
        <v>29</v>
      </c>
      <c r="P17" s="73">
        <v>3</v>
      </c>
      <c r="Q17" s="20">
        <f>'Game Description'!C18</f>
        <v>5</v>
      </c>
      <c r="R17" s="74">
        <f>INDEX($H$11:$L$19,MATCH($O17,$G$11:$G$18,0),MATCH(R$5,$H$10:$L$10,0))+H$19</f>
        <v>12</v>
      </c>
      <c r="S17" s="74">
        <f>INDEX($H$11:$L$19,MATCH($O17,$G$11:$G$18,0),MATCH(S$5,$H$10:$L$10,0))+I$19</f>
        <v>13</v>
      </c>
      <c r="T17" s="74">
        <f>INDEX($H$11:$L$19,MATCH($O17,$G$11:$G$18,0),MATCH(T$5,$H$10:$L$10,0))+J$19</f>
        <v>13</v>
      </c>
      <c r="U17" s="74">
        <f>K$20-(K$19+INDEX($H$11:$L$19,MATCH($O17,$G$11:$G$18,0),MATCH(U$5,$H$10:$L$10,0)))</f>
        <v>36</v>
      </c>
      <c r="V17" s="74">
        <f t="shared" ref="V17" si="6">$L$20</f>
        <v>50</v>
      </c>
      <c r="W17" s="74">
        <f t="shared" si="1"/>
        <v>15660000</v>
      </c>
      <c r="X17" s="74">
        <f>PRODUCT(R17:V17)- PRODUCT($H$19:$J$19)*U17*V17</f>
        <v>3132000</v>
      </c>
      <c r="Y17" s="75">
        <f>(X17/$X$43)*Q17</f>
        <v>5.0112000000000004E-2</v>
      </c>
      <c r="AA17" s="73" t="s">
        <v>37</v>
      </c>
      <c r="AB17" s="73" t="s">
        <v>29</v>
      </c>
      <c r="AC17" s="73">
        <v>3</v>
      </c>
      <c r="AD17" s="20">
        <f>'Game Description'!$C$22</f>
        <v>40</v>
      </c>
      <c r="AE17" s="74">
        <f>INDEX($H$11:$L$19,MATCH($AA17,$G$11:$G$19,0),MATCH(R$5,$H$10:$L$10,0))</f>
        <v>6</v>
      </c>
      <c r="AF17" s="74">
        <f>INDEX($H$11:$L$19,MATCH($AA17,$G$11:$G$19,0),MATCH(S$5,$H$10:$L$10,0))</f>
        <v>8</v>
      </c>
      <c r="AG17" s="74">
        <f>INDEX($H$11:$L$19,MATCH($AA17,$G$11:$G$19,0),MATCH(T$5,$H$10:$L$10,0))</f>
        <v>6</v>
      </c>
      <c r="AH17" s="74">
        <f>INDEX($H$11:$L$19,MATCH("DD",$G$11:$G$19,0),MATCH(AH$5,$H$10:$L$10,0))</f>
        <v>7</v>
      </c>
      <c r="AI17" s="74">
        <f>L14</f>
        <v>6</v>
      </c>
      <c r="AJ17" s="74">
        <f t="shared" si="2"/>
        <v>1209600</v>
      </c>
      <c r="AK17" s="74">
        <f t="shared" si="0"/>
        <v>12096</v>
      </c>
      <c r="AL17" s="75">
        <f>IF(AD17&gt;Q15,AD17,Q15)*(AK17/$X$43)</f>
        <v>3.8707200000000002E-3</v>
      </c>
      <c r="AM17" s="78"/>
    </row>
    <row r="18" spans="1:39" ht="14.45" customHeight="1">
      <c r="A18" s="37" t="s">
        <v>29</v>
      </c>
      <c r="B18" s="37" t="s">
        <v>29</v>
      </c>
      <c r="C18" s="37" t="s">
        <v>27</v>
      </c>
      <c r="D18" s="37" t="s">
        <v>33</v>
      </c>
      <c r="E18" s="37" t="s">
        <v>35</v>
      </c>
      <c r="F18" s="34"/>
      <c r="G18" s="45" t="s">
        <v>40</v>
      </c>
      <c r="H18">
        <f>COUNTIF(A$1:A$899,$G18)</f>
        <v>2</v>
      </c>
      <c r="I18">
        <f>COUNTIF(B$1:B$899,$G18)</f>
        <v>2</v>
      </c>
      <c r="J18">
        <f>COUNTIF(C$1:C$899,$G18)</f>
        <v>2</v>
      </c>
      <c r="K18">
        <f>COUNTIF(D$1:D$899,$G18)</f>
        <v>2</v>
      </c>
      <c r="L18">
        <f>COUNTIF(E$1:E$899,$G18)</f>
        <v>3</v>
      </c>
      <c r="O18" s="73" t="s">
        <v>31</v>
      </c>
      <c r="P18" s="73">
        <v>5</v>
      </c>
      <c r="Q18" s="20">
        <f>'Game Description'!E19</f>
        <v>100</v>
      </c>
      <c r="R18" s="74">
        <f>INDEX($H$11:$L$19,MATCH($O18,$G$11:$G$18,0),MATCH(R$5,$H$10:$L$10,0))+H$19</f>
        <v>12</v>
      </c>
      <c r="S18" s="74">
        <f>INDEX($H$11:$L$19,MATCH($O18,$G$11:$G$18,0),MATCH(S$5,$H$10:$L$10,0))+I$19</f>
        <v>15</v>
      </c>
      <c r="T18" s="74">
        <f>INDEX($H$11:$L$19,MATCH($O18,$G$11:$G$18,0),MATCH(T$5,$H$10:$L$10,0))+J$19</f>
        <v>11</v>
      </c>
      <c r="U18" s="74">
        <f>INDEX($H$11:$L$19,MATCH($O18,$G$11:$G$18,0),MATCH(U$5,$H$10:$L$10,0))+K$19</f>
        <v>14</v>
      </c>
      <c r="V18" s="74">
        <f>INDEX($H$11:$L$19,MATCH($O18,$G$11:$G$18,0),MATCH(V$5,$H$10:$L$10,0))+L$19</f>
        <v>13</v>
      </c>
      <c r="W18" s="74">
        <f t="shared" si="1"/>
        <v>32004000</v>
      </c>
      <c r="X18" s="74">
        <f>PRODUCT(R18:V18)-AK18-AK20-AK27</f>
        <v>320040</v>
      </c>
      <c r="Y18" s="75">
        <f>(X18/$X$43)*Q18</f>
        <v>0.1024128</v>
      </c>
      <c r="Z18" s="78">
        <f t="shared" ref="Z18" si="7">SUM(Y15:Y17)</f>
        <v>0.20676864</v>
      </c>
      <c r="AA18" s="73" t="s">
        <v>37</v>
      </c>
      <c r="AB18" s="73" t="s">
        <v>31</v>
      </c>
      <c r="AC18" s="73">
        <v>4</v>
      </c>
      <c r="AD18" s="20">
        <f>'Game Description'!$D$22</f>
        <v>400</v>
      </c>
      <c r="AE18" s="74">
        <f>INDEX($H$11:$L$19,MATCH($AA18,$G$11:$G$19,0),MATCH(R$5,$H$10:$L$10,0))</f>
        <v>6</v>
      </c>
      <c r="AF18" s="74">
        <f>INDEX($H$11:$L$19,MATCH($AA18,$G$11:$G$19,0),MATCH(S$5,$H$10:$L$10,0))</f>
        <v>8</v>
      </c>
      <c r="AG18" s="74">
        <f>INDEX($H$11:$L$19,MATCH($AA18,$G$11:$G$19,0),MATCH(T$5,$H$10:$L$10,0))</f>
        <v>6</v>
      </c>
      <c r="AH18" s="74">
        <f>INDEX($H$11:$L$19,MATCH($AA18,$G$11:$G$19,0),MATCH(U$5,$H$10:$L$10,0))</f>
        <v>7</v>
      </c>
      <c r="AI18" s="74">
        <f>INDEX($H$11:$L$19,MATCH("EE",$G$11:$G$19,0),MATCH(AI$5,$H$10:$L$10,0))</f>
        <v>7</v>
      </c>
      <c r="AJ18" s="74">
        <f t="shared" si="2"/>
        <v>5644800</v>
      </c>
      <c r="AK18" s="74">
        <f t="shared" si="0"/>
        <v>14112</v>
      </c>
      <c r="AL18" s="75">
        <f>IF(AD18&gt;Q18,AD18,Q18)*(AK18/$X$43)</f>
        <v>1.8063360000000001E-2</v>
      </c>
    </row>
    <row r="19" spans="1:39" ht="14.45" customHeight="1">
      <c r="A19" s="37" t="s">
        <v>33</v>
      </c>
      <c r="B19" s="37" t="s">
        <v>37</v>
      </c>
      <c r="C19" s="37" t="s">
        <v>35</v>
      </c>
      <c r="D19" s="45" t="s">
        <v>40</v>
      </c>
      <c r="E19" s="37" t="s">
        <v>35</v>
      </c>
      <c r="F19" s="34"/>
      <c r="G19" s="44" t="s">
        <v>37</v>
      </c>
      <c r="H19">
        <f>COUNTIF(A$1:A$899,$G19)</f>
        <v>6</v>
      </c>
      <c r="I19">
        <f>COUNTIF(B$1:B$899,$G19)</f>
        <v>8</v>
      </c>
      <c r="J19">
        <f>COUNTIF(C$1:C$899,$G19)</f>
        <v>6</v>
      </c>
      <c r="K19">
        <f>COUNTIF(D$1:D$899,$G19)</f>
        <v>7</v>
      </c>
      <c r="L19">
        <f>COUNTIF(E$1:E$899,$G19)</f>
        <v>6</v>
      </c>
      <c r="O19" s="73" t="s">
        <v>31</v>
      </c>
      <c r="P19" s="73">
        <v>4</v>
      </c>
      <c r="Q19" s="20">
        <f>'Game Description'!D19</f>
        <v>20</v>
      </c>
      <c r="R19" s="74">
        <f>INDEX($H$11:$L$19,MATCH($O19,$G$11:$G$18,0),MATCH(R$5,$H$10:$L$10,0))+H$19</f>
        <v>12</v>
      </c>
      <c r="S19" s="74">
        <f>INDEX($H$11:$L$19,MATCH($O19,$G$11:$G$18,0),MATCH(S$5,$H$10:$L$10,0))+I$19</f>
        <v>15</v>
      </c>
      <c r="T19" s="74">
        <f>INDEX($H$11:$L$19,MATCH($O19,$G$11:$G$18,0),MATCH(T$5,$H$10:$L$10,0))+J$19</f>
        <v>11</v>
      </c>
      <c r="U19" s="74">
        <f>INDEX($H$11:$L$19,MATCH($O19,$G$11:$G$18,0),MATCH(U$5,$H$10:$L$10,0))+K$19</f>
        <v>14</v>
      </c>
      <c r="V19" s="74">
        <f>L$20-(L$19+INDEX($H$11:$L$19,MATCH($O19,$G$11:$G$17,0),MATCH(V$5,$H$10:$L$10,0)))</f>
        <v>37</v>
      </c>
      <c r="W19" s="74">
        <f t="shared" si="1"/>
        <v>17529120</v>
      </c>
      <c r="X19" s="74">
        <f>PRODUCT(R19:V19)-PRODUCT($H$19:$K$19)*$V19-$AK19</f>
        <v>876456</v>
      </c>
      <c r="Y19" s="75">
        <f>(X19/$X$43)*Q19</f>
        <v>5.6093184000000004E-2</v>
      </c>
      <c r="AA19" s="73" t="s">
        <v>37</v>
      </c>
      <c r="AB19" s="73" t="s">
        <v>31</v>
      </c>
      <c r="AC19" s="73">
        <v>3</v>
      </c>
      <c r="AD19" s="20">
        <f>'Game Description'!$C$22</f>
        <v>40</v>
      </c>
      <c r="AE19" s="74">
        <f>INDEX($H$11:$L$19,MATCH($AA19,$G$11:$G$19,0),MATCH(R$5,$H$10:$L$10,0))</f>
        <v>6</v>
      </c>
      <c r="AF19" s="74">
        <f>INDEX($H$11:$L$19,MATCH($AA19,$G$11:$G$19,0),MATCH(S$5,$H$10:$L$10,0))</f>
        <v>8</v>
      </c>
      <c r="AG19" s="74">
        <f>INDEX($H$11:$L$19,MATCH($AA19,$G$11:$G$19,0),MATCH(T$5,$H$10:$L$10,0))</f>
        <v>6</v>
      </c>
      <c r="AH19" s="74">
        <f>INDEX($H$11:$L$19,MATCH("EE",$G$11:$G$19,0),MATCH(AH$5,$H$10:$L$10,0))</f>
        <v>7</v>
      </c>
      <c r="AI19" s="74">
        <f>$L$20-L$19-L15</f>
        <v>37</v>
      </c>
      <c r="AJ19" s="74">
        <f t="shared" si="2"/>
        <v>2983679.9999999995</v>
      </c>
      <c r="AK19" s="74">
        <f t="shared" si="0"/>
        <v>74592</v>
      </c>
      <c r="AL19" s="75">
        <f>IF(AD19&gt;Q19,AD19,Q19)*(AK19/$X$43)</f>
        <v>9.5477759999999991E-3</v>
      </c>
    </row>
    <row r="20" spans="1:39" ht="14.45" customHeight="1">
      <c r="A20" s="37" t="s">
        <v>40</v>
      </c>
      <c r="B20" s="37" t="s">
        <v>40</v>
      </c>
      <c r="C20" s="37" t="s">
        <v>31</v>
      </c>
      <c r="D20" s="37" t="s">
        <v>29</v>
      </c>
      <c r="E20" s="37" t="s">
        <v>23</v>
      </c>
      <c r="F20" s="34"/>
      <c r="G20" t="s">
        <v>67</v>
      </c>
      <c r="H20">
        <f>SUM(H11:H19)</f>
        <v>50</v>
      </c>
      <c r="I20">
        <f t="shared" ref="I20:L20" si="8">SUM(I11:I19)</f>
        <v>50</v>
      </c>
      <c r="J20">
        <f t="shared" si="8"/>
        <v>50</v>
      </c>
      <c r="K20">
        <f t="shared" si="8"/>
        <v>50</v>
      </c>
      <c r="L20">
        <f t="shared" si="8"/>
        <v>50</v>
      </c>
      <c r="O20" s="73" t="s">
        <v>31</v>
      </c>
      <c r="P20" s="73">
        <v>3</v>
      </c>
      <c r="Q20" s="20">
        <f>'Game Description'!C19</f>
        <v>5</v>
      </c>
      <c r="R20" s="74">
        <f>INDEX($H$11:$L$19,MATCH($O20,$G$11:$G$18,0),MATCH(R$5,$H$10:$L$10,0))+H$19</f>
        <v>12</v>
      </c>
      <c r="S20" s="74">
        <f>INDEX($H$11:$L$19,MATCH($O20,$G$11:$G$18,0),MATCH(S$5,$H$10:$L$10,0))+I$19</f>
        <v>15</v>
      </c>
      <c r="T20" s="74">
        <f>INDEX($H$11:$L$19,MATCH($O20,$G$11:$G$18,0),MATCH(T$5,$H$10:$L$10,0))+J$19</f>
        <v>11</v>
      </c>
      <c r="U20" s="74">
        <f>K$20-(K$19+INDEX($H$11:$L$19,MATCH($O20,$G$11:$G$18,0),MATCH(U$5,$H$10:$L$10,0)))</f>
        <v>36</v>
      </c>
      <c r="V20" s="74">
        <f t="shared" ref="V20" si="9">$L$20</f>
        <v>50</v>
      </c>
      <c r="W20" s="74">
        <f t="shared" si="1"/>
        <v>15228000</v>
      </c>
      <c r="X20" s="74">
        <f>PRODUCT(R20:V20)- PRODUCT($H$19:$J$19)*U20*V20</f>
        <v>3045600</v>
      </c>
      <c r="Y20" s="75">
        <f>(X20/$X$43)*Q20</f>
        <v>4.8729599999999998E-2</v>
      </c>
      <c r="AA20" s="73" t="s">
        <v>37</v>
      </c>
      <c r="AB20" s="73" t="s">
        <v>31</v>
      </c>
      <c r="AC20" s="73">
        <v>3</v>
      </c>
      <c r="AD20" s="20">
        <f>'Game Description'!$C$22</f>
        <v>40</v>
      </c>
      <c r="AE20" s="74">
        <f>INDEX($H$11:$L$19,MATCH($AA20,$G$11:$G$19,0),MATCH(R$5,$H$10:$L$10,0))</f>
        <v>6</v>
      </c>
      <c r="AF20" s="74">
        <f>INDEX($H$11:$L$19,MATCH($AA20,$G$11:$G$19,0),MATCH(S$5,$H$10:$L$10,0))</f>
        <v>8</v>
      </c>
      <c r="AG20" s="74">
        <f>INDEX($H$11:$L$19,MATCH($AA20,$G$11:$G$19,0),MATCH(T$5,$H$10:$L$10,0))</f>
        <v>6</v>
      </c>
      <c r="AH20" s="74">
        <f>INDEX($H$11:$L$19,MATCH("EE",$G$11:$G$19,0),MATCH(AH$5,$H$10:$L$10,0))</f>
        <v>7</v>
      </c>
      <c r="AI20" s="74">
        <f>L15</f>
        <v>7</v>
      </c>
      <c r="AJ20" s="74">
        <f t="shared" si="2"/>
        <v>1411200</v>
      </c>
      <c r="AK20" s="74">
        <f t="shared" si="0"/>
        <v>14112</v>
      </c>
      <c r="AL20" s="75">
        <f>IF(AD20&gt;Q18,AD20,Q18)*(AK20/$X$43)</f>
        <v>4.5158400000000001E-3</v>
      </c>
      <c r="AM20" s="78"/>
    </row>
    <row r="21" spans="1:39" ht="14.45" customHeight="1">
      <c r="A21" s="37" t="s">
        <v>27</v>
      </c>
      <c r="B21" s="37" t="s">
        <v>31</v>
      </c>
      <c r="C21" s="37" t="s">
        <v>35</v>
      </c>
      <c r="D21" s="37" t="s">
        <v>29</v>
      </c>
      <c r="E21" s="37" t="s">
        <v>35</v>
      </c>
      <c r="F21" s="34"/>
      <c r="G21"/>
      <c r="O21" s="73" t="s">
        <v>33</v>
      </c>
      <c r="P21" s="73">
        <v>5</v>
      </c>
      <c r="Q21" s="20">
        <f>'Game Description'!E20</f>
        <v>50</v>
      </c>
      <c r="R21" s="74">
        <f>INDEX($H$11:$L$19,MATCH($O21,$G$11:$G$18,0),MATCH(R$5,$H$10:$L$10,0))+H$19</f>
        <v>15</v>
      </c>
      <c r="S21" s="74">
        <f>INDEX($H$11:$L$19,MATCH($O21,$G$11:$G$18,0),MATCH(S$5,$H$10:$L$10,0))+I$19</f>
        <v>17</v>
      </c>
      <c r="T21" s="74">
        <f>INDEX($H$11:$L$19,MATCH($O21,$G$11:$G$18,0),MATCH(T$5,$H$10:$L$10,0))+J$19</f>
        <v>15</v>
      </c>
      <c r="U21" s="74">
        <f>INDEX($H$11:$L$19,MATCH($O21,$G$11:$G$18,0),MATCH(U$5,$H$10:$L$10,0))+K$19</f>
        <v>16</v>
      </c>
      <c r="V21" s="74">
        <f>INDEX($H$11:$L$19,MATCH($O21,$G$11:$G$18,0),MATCH(V$5,$H$10:$L$10,0))+L$19</f>
        <v>15</v>
      </c>
      <c r="W21" s="74">
        <f t="shared" si="1"/>
        <v>43221600</v>
      </c>
      <c r="X21" s="74">
        <f>PRODUCT(R21:V21)-AK21-AK23-AK27</f>
        <v>864432</v>
      </c>
      <c r="Y21" s="75">
        <f>(X21/$X$43)*Q21</f>
        <v>0.13830912000000001</v>
      </c>
      <c r="Z21" s="78">
        <f>SUM(Y18:Y20)</f>
        <v>0.20723558399999997</v>
      </c>
      <c r="AA21" s="73" t="s">
        <v>37</v>
      </c>
      <c r="AB21" s="73" t="s">
        <v>33</v>
      </c>
      <c r="AC21" s="73">
        <v>4</v>
      </c>
      <c r="AD21" s="20">
        <f>'Game Description'!$D$22</f>
        <v>400</v>
      </c>
      <c r="AE21" s="74">
        <f>INDEX($H$11:$L$19,MATCH($AA21,$G$11:$G$19,0),MATCH(R$5,$H$10:$L$10,0))</f>
        <v>6</v>
      </c>
      <c r="AF21" s="74">
        <f>INDEX($H$11:$L$19,MATCH($AA21,$G$11:$G$19,0),MATCH(S$5,$H$10:$L$10,0))</f>
        <v>8</v>
      </c>
      <c r="AG21" s="74">
        <f>INDEX($H$11:$L$19,MATCH($AA21,$G$11:$G$19,0),MATCH(T$5,$H$10:$L$10,0))</f>
        <v>6</v>
      </c>
      <c r="AH21" s="74">
        <f>INDEX($H$11:$L$19,MATCH($AA21,$G$11:$G$19,0),MATCH(U$5,$H$10:$L$10,0))</f>
        <v>7</v>
      </c>
      <c r="AI21" s="74">
        <f>INDEX($H$11:$L$19,MATCH("FF",$G$11:$G$19,0),MATCH(AI$5,$H$10:$L$10,0))</f>
        <v>9</v>
      </c>
      <c r="AJ21" s="74">
        <f t="shared" si="2"/>
        <v>7257600</v>
      </c>
      <c r="AK21" s="74">
        <f t="shared" si="0"/>
        <v>18144</v>
      </c>
      <c r="AL21" s="75">
        <f>IF(AD21&gt;Q21,AD21,Q21)*(AK21/$X$43)</f>
        <v>2.322432E-2</v>
      </c>
    </row>
    <row r="22" spans="1:39" ht="14.45" customHeight="1">
      <c r="A22" s="37" t="s">
        <v>27</v>
      </c>
      <c r="B22" s="37" t="s">
        <v>33</v>
      </c>
      <c r="C22" s="37" t="s">
        <v>25</v>
      </c>
      <c r="D22" s="37" t="s">
        <v>29</v>
      </c>
      <c r="E22" s="37" t="s">
        <v>35</v>
      </c>
      <c r="F22" s="34"/>
      <c r="G22" s="34"/>
      <c r="H22" s="34"/>
      <c r="I22" s="34"/>
      <c r="O22" s="73" t="s">
        <v>33</v>
      </c>
      <c r="P22" s="73">
        <v>4</v>
      </c>
      <c r="Q22" s="20">
        <f>'Game Description'!D20</f>
        <v>10</v>
      </c>
      <c r="R22" s="74">
        <f>INDEX($H$11:$L$19,MATCH($O22,$G$11:$G$18,0),MATCH(R$5,$H$10:$L$10,0))+H$19</f>
        <v>15</v>
      </c>
      <c r="S22" s="74">
        <f>INDEX($H$11:$L$19,MATCH($O22,$G$11:$G$18,0),MATCH(S$5,$H$10:$L$10,0))+I$19</f>
        <v>17</v>
      </c>
      <c r="T22" s="74">
        <f>INDEX($H$11:$L$19,MATCH($O22,$G$11:$G$18,0),MATCH(T$5,$H$10:$L$10,0))+J$19</f>
        <v>15</v>
      </c>
      <c r="U22" s="74">
        <f>INDEX($H$11:$L$19,MATCH($O22,$G$11:$G$18,0),MATCH(U$5,$H$10:$L$10,0))+K$19</f>
        <v>16</v>
      </c>
      <c r="V22" s="74">
        <f>L$20-(L$19+INDEX($H$11:$L$19,MATCH($O22,$G$11:$G$17,0),MATCH(V$5,$H$10:$L$10,0)))</f>
        <v>35</v>
      </c>
      <c r="W22" s="74">
        <f t="shared" si="1"/>
        <v>19807200</v>
      </c>
      <c r="X22" s="74">
        <f>PRODUCT(R22:V22)-PRODUCT($H$19:$K$19)*$V22-$AK22</f>
        <v>1980720</v>
      </c>
      <c r="Y22" s="75">
        <f>(X22/$X$43)*Q22</f>
        <v>6.3383040000000002E-2</v>
      </c>
      <c r="AA22" s="73" t="s">
        <v>37</v>
      </c>
      <c r="AB22" s="73" t="s">
        <v>33</v>
      </c>
      <c r="AC22" s="73">
        <v>3</v>
      </c>
      <c r="AD22" s="20">
        <f>'Game Description'!$C$22</f>
        <v>40</v>
      </c>
      <c r="AE22" s="74">
        <f>INDEX($H$11:$L$19,MATCH($AA22,$G$11:$G$19,0),MATCH(R$5,$H$10:$L$10,0))</f>
        <v>6</v>
      </c>
      <c r="AF22" s="74">
        <f>INDEX($H$11:$L$19,MATCH($AA22,$G$11:$G$19,0),MATCH(S$5,$H$10:$L$10,0))</f>
        <v>8</v>
      </c>
      <c r="AG22" s="74">
        <f>INDEX($H$11:$L$19,MATCH($AA22,$G$11:$G$19,0),MATCH(T$5,$H$10:$L$10,0))</f>
        <v>6</v>
      </c>
      <c r="AH22" s="74">
        <f>INDEX($H$11:$L$19,MATCH("FF",$G$11:$G$19,0),MATCH(AH$5,$H$10:$L$10,0))</f>
        <v>9</v>
      </c>
      <c r="AI22" s="74">
        <f>$L$20-L$19-L16</f>
        <v>35</v>
      </c>
      <c r="AJ22" s="74">
        <f t="shared" si="2"/>
        <v>3628800</v>
      </c>
      <c r="AK22" s="74">
        <f t="shared" si="0"/>
        <v>90720</v>
      </c>
      <c r="AL22" s="75">
        <f>IF(AD22&gt;Q22,AD22,Q22)*(AK22/$X$43)</f>
        <v>1.161216E-2</v>
      </c>
    </row>
    <row r="23" spans="1:39" ht="14.45" customHeight="1">
      <c r="A23" s="37" t="s">
        <v>23</v>
      </c>
      <c r="B23" s="37" t="s">
        <v>35</v>
      </c>
      <c r="C23" s="37" t="s">
        <v>40</v>
      </c>
      <c r="D23" s="37" t="s">
        <v>23</v>
      </c>
      <c r="E23" s="45" t="s">
        <v>40</v>
      </c>
      <c r="F23" s="34"/>
      <c r="G23" s="34"/>
      <c r="H23" s="34"/>
      <c r="I23" s="34"/>
      <c r="O23" s="73" t="s">
        <v>33</v>
      </c>
      <c r="P23" s="73">
        <v>3</v>
      </c>
      <c r="Q23" s="20">
        <f>'Game Description'!C20</f>
        <v>1</v>
      </c>
      <c r="R23" s="74">
        <f>INDEX($H$11:$L$19,MATCH($O23,$G$11:$G$18,0),MATCH(R$5,$H$10:$L$10,0))+H$19</f>
        <v>15</v>
      </c>
      <c r="S23" s="74">
        <f>INDEX($H$11:$L$19,MATCH($O23,$G$11:$G$18,0),MATCH(S$5,$H$10:$L$10,0))+I$19</f>
        <v>17</v>
      </c>
      <c r="T23" s="74">
        <f>INDEX($H$11:$L$19,MATCH($O23,$G$11:$G$18,0),MATCH(T$5,$H$10:$L$10,0))+J$19</f>
        <v>15</v>
      </c>
      <c r="U23" s="74">
        <f>K$20-(K$19+INDEX($H$11:$L$19,MATCH($O23,$G$11:$G$18,0),MATCH(U$5,$H$10:$L$10,0)))</f>
        <v>34</v>
      </c>
      <c r="V23" s="74">
        <f t="shared" ref="V23" si="10">$L$20</f>
        <v>50</v>
      </c>
      <c r="W23" s="74">
        <f t="shared" si="1"/>
        <v>6012900</v>
      </c>
      <c r="X23" s="74">
        <f>PRODUCT(R23:V23)- PRODUCT($H$19:$J$19)*U23*V23</f>
        <v>6012900</v>
      </c>
      <c r="Y23" s="75">
        <f>(X23/$X$43)*Q23</f>
        <v>1.9241279999999999E-2</v>
      </c>
      <c r="AA23" s="73" t="s">
        <v>37</v>
      </c>
      <c r="AB23" s="73" t="s">
        <v>33</v>
      </c>
      <c r="AC23" s="73">
        <v>3</v>
      </c>
      <c r="AD23" s="20">
        <f>'Game Description'!$C$22</f>
        <v>40</v>
      </c>
      <c r="AE23" s="74">
        <f>INDEX($H$11:$L$19,MATCH($AA23,$G$11:$G$19,0),MATCH(R$5,$H$10:$L$10,0))</f>
        <v>6</v>
      </c>
      <c r="AF23" s="74">
        <f>INDEX($H$11:$L$19,MATCH($AA23,$G$11:$G$19,0),MATCH(S$5,$H$10:$L$10,0))</f>
        <v>8</v>
      </c>
      <c r="AG23" s="74">
        <f>INDEX($H$11:$L$19,MATCH($AA23,$G$11:$G$19,0),MATCH(T$5,$H$10:$L$10,0))</f>
        <v>6</v>
      </c>
      <c r="AH23" s="74">
        <f>INDEX($H$11:$L$19,MATCH("FF",$G$11:$G$19,0),MATCH(AH$5,$H$10:$L$10,0))</f>
        <v>9</v>
      </c>
      <c r="AI23" s="74">
        <f>L16</f>
        <v>9</v>
      </c>
      <c r="AJ23" s="74">
        <f t="shared" si="2"/>
        <v>1166400</v>
      </c>
      <c r="AK23" s="74">
        <f t="shared" si="0"/>
        <v>23328</v>
      </c>
      <c r="AL23" s="75">
        <f>IF(AD23&gt;Q21,AD23,Q21)*(AK23/$X$43)</f>
        <v>3.7324799999999998E-3</v>
      </c>
      <c r="AM23" s="78"/>
    </row>
    <row r="24" spans="1:39" ht="14.45" customHeight="1">
      <c r="A24" s="37" t="s">
        <v>31</v>
      </c>
      <c r="B24" s="37" t="s">
        <v>33</v>
      </c>
      <c r="C24" s="37" t="s">
        <v>35</v>
      </c>
      <c r="D24" s="37" t="s">
        <v>25</v>
      </c>
      <c r="E24" s="37" t="s">
        <v>29</v>
      </c>
      <c r="F24" s="34"/>
      <c r="G24" s="34"/>
      <c r="H24" s="34"/>
      <c r="I24" s="34"/>
      <c r="O24" s="73" t="s">
        <v>35</v>
      </c>
      <c r="P24" s="73">
        <v>5</v>
      </c>
      <c r="Q24" s="20">
        <f>'Game Description'!E21</f>
        <v>50</v>
      </c>
      <c r="R24" s="74">
        <f>INDEX($H$11:$L$19,MATCH($O24,$G$11:$G$18,0),MATCH(R$5,$H$10:$L$10,0))+H$19</f>
        <v>16</v>
      </c>
      <c r="S24" s="74">
        <f>INDEX($H$11:$L$19,MATCH($O24,$G$11:$G$18,0),MATCH(S$5,$H$10:$L$10,0))+I$19</f>
        <v>18</v>
      </c>
      <c r="T24" s="74">
        <f>INDEX($H$11:$L$19,MATCH($O24,$G$11:$G$18,0),MATCH(T$5,$H$10:$L$10,0))+J$19</f>
        <v>15</v>
      </c>
      <c r="U24" s="74">
        <f>INDEX($H$11:$L$19,MATCH($O24,$G$11:$G$18,0),MATCH(U$5,$H$10:$L$10,0))+K$19</f>
        <v>15</v>
      </c>
      <c r="V24" s="74">
        <f>INDEX($H$11:$L$19,MATCH($O24,$G$11:$G$18,0),MATCH(V$5,$H$10:$L$10,0))+L$19</f>
        <v>14</v>
      </c>
      <c r="W24" s="74">
        <f t="shared" si="1"/>
        <v>43027200</v>
      </c>
      <c r="X24" s="74">
        <f>PRODUCT(R24:V24)-AK24-AK26-AK27</f>
        <v>860544</v>
      </c>
      <c r="Y24" s="75">
        <f>(X24/$X$43)*Q24</f>
        <v>0.13768704000000001</v>
      </c>
      <c r="Z24" s="78">
        <f t="shared" ref="Z24" si="11">SUM(Y21:Y23)</f>
        <v>0.22093344000000001</v>
      </c>
      <c r="AA24" s="73" t="s">
        <v>37</v>
      </c>
      <c r="AB24" s="73" t="s">
        <v>35</v>
      </c>
      <c r="AC24" s="73">
        <v>4</v>
      </c>
      <c r="AD24" s="20">
        <f>'Game Description'!$D$22</f>
        <v>400</v>
      </c>
      <c r="AE24" s="74">
        <f>INDEX($H$11:$L$19,MATCH($AA24,$G$11:$G$19,0),MATCH(R$5,$H$10:$L$10,0))</f>
        <v>6</v>
      </c>
      <c r="AF24" s="74">
        <f>INDEX($H$11:$L$19,MATCH($AA24,$G$11:$G$19,0),MATCH(S$5,$H$10:$L$10,0))</f>
        <v>8</v>
      </c>
      <c r="AG24" s="74">
        <f>INDEX($H$11:$L$19,MATCH($AA24,$G$11:$G$19,0),MATCH(T$5,$H$10:$L$10,0))</f>
        <v>6</v>
      </c>
      <c r="AH24" s="74">
        <f>INDEX($H$11:$L$19,MATCH($AA24,$G$11:$G$19,0),MATCH(U$5,$H$10:$L$10,0))</f>
        <v>7</v>
      </c>
      <c r="AI24" s="74">
        <f>INDEX($H$11:$L$19,MATCH("GG",$G$11:$G$19,0),MATCH(AI$5,$H$10:$L$10,0))</f>
        <v>8</v>
      </c>
      <c r="AJ24" s="74">
        <f t="shared" si="2"/>
        <v>6451200</v>
      </c>
      <c r="AK24" s="74">
        <f t="shared" si="0"/>
        <v>16128</v>
      </c>
      <c r="AL24" s="75">
        <f>IF(AD24&gt;Q24,AD24,Q24)*(AK24/$X$43)</f>
        <v>2.064384E-2</v>
      </c>
    </row>
    <row r="25" spans="1:39" ht="14.45" customHeight="1">
      <c r="A25" s="37" t="s">
        <v>33</v>
      </c>
      <c r="B25" s="37" t="s">
        <v>33</v>
      </c>
      <c r="C25" s="37" t="s">
        <v>33</v>
      </c>
      <c r="D25" s="37" t="s">
        <v>33</v>
      </c>
      <c r="E25" s="37" t="s">
        <v>29</v>
      </c>
      <c r="F25" s="34"/>
      <c r="G25" s="34"/>
      <c r="H25" s="34"/>
      <c r="I25" s="34"/>
      <c r="O25" s="73" t="s">
        <v>35</v>
      </c>
      <c r="P25" s="73">
        <v>4</v>
      </c>
      <c r="Q25" s="20">
        <f>'Game Description'!D21</f>
        <v>10</v>
      </c>
      <c r="R25" s="74">
        <f>INDEX($H$11:$L$19,MATCH($O25,$G$11:$G$18,0),MATCH(R$5,$H$10:$L$10,0))+H$19</f>
        <v>16</v>
      </c>
      <c r="S25" s="74">
        <f>INDEX($H$11:$L$19,MATCH($O25,$G$11:$G$18,0),MATCH(S$5,$H$10:$L$10,0))+I$19</f>
        <v>18</v>
      </c>
      <c r="T25" s="74">
        <f>INDEX($H$11:$L$19,MATCH($O25,$G$11:$G$18,0),MATCH(T$5,$H$10:$L$10,0))+J$19</f>
        <v>15</v>
      </c>
      <c r="U25" s="74">
        <f>INDEX($H$11:$L$19,MATCH($O25,$G$11:$G$18,0),MATCH(U$5,$H$10:$L$10,0))+K$19</f>
        <v>15</v>
      </c>
      <c r="V25" s="74">
        <f>L$20-(L$19+INDEX($H$11:$L$19,MATCH($O25,$G$11:$G$17,0),MATCH(V$5,$H$10:$L$10,0)))</f>
        <v>36</v>
      </c>
      <c r="W25" s="74">
        <f t="shared" si="1"/>
        <v>21772800</v>
      </c>
      <c r="X25" s="74">
        <f>PRODUCT(R25:V25)-PRODUCT($H$19:$K$19)*$V25-$AK25</f>
        <v>2177280</v>
      </c>
      <c r="Y25" s="75">
        <f>(X25/$X$43)*Q25</f>
        <v>6.9672960000000006E-2</v>
      </c>
      <c r="AA25" s="73" t="s">
        <v>37</v>
      </c>
      <c r="AB25" s="73" t="s">
        <v>35</v>
      </c>
      <c r="AC25" s="73">
        <v>3</v>
      </c>
      <c r="AD25" s="20">
        <f>'Game Description'!$C$22</f>
        <v>40</v>
      </c>
      <c r="AE25" s="74">
        <f>INDEX($H$11:$L$19,MATCH($AA25,$G$11:$G$19,0),MATCH(R$5,$H$10:$L$10,0))</f>
        <v>6</v>
      </c>
      <c r="AF25" s="74">
        <f>INDEX($H$11:$L$19,MATCH($AA25,$G$11:$G$19,0),MATCH(S$5,$H$10:$L$10,0))</f>
        <v>8</v>
      </c>
      <c r="AG25" s="74">
        <f>INDEX($H$11:$L$19,MATCH($AA25,$G$11:$G$19,0),MATCH(T$5,$H$10:$L$10,0))</f>
        <v>6</v>
      </c>
      <c r="AH25" s="74">
        <f>INDEX($H$11:$L$19,MATCH("GG",$G$11:$G$19,0),MATCH(AH$5,$H$10:$L$10,0))</f>
        <v>8</v>
      </c>
      <c r="AI25" s="74">
        <f>L20-L19-L17</f>
        <v>36</v>
      </c>
      <c r="AJ25" s="74">
        <f t="shared" si="2"/>
        <v>3317760</v>
      </c>
      <c r="AK25" s="74">
        <f t="shared" si="0"/>
        <v>82944</v>
      </c>
      <c r="AL25" s="75">
        <f>IF(AD25&gt;Q25,AD25,Q25)*(AK25/$X$43)</f>
        <v>1.0616832E-2</v>
      </c>
    </row>
    <row r="26" spans="1:39" ht="14.45" customHeight="1">
      <c r="A26" s="37" t="s">
        <v>33</v>
      </c>
      <c r="B26" s="37" t="s">
        <v>25</v>
      </c>
      <c r="C26" s="37" t="s">
        <v>37</v>
      </c>
      <c r="D26" s="37" t="s">
        <v>33</v>
      </c>
      <c r="E26" s="37" t="s">
        <v>29</v>
      </c>
      <c r="F26" s="34"/>
      <c r="G26" s="34"/>
      <c r="H26" s="34"/>
      <c r="I26" s="34"/>
      <c r="O26" s="73" t="s">
        <v>35</v>
      </c>
      <c r="P26" s="73">
        <v>3</v>
      </c>
      <c r="Q26" s="20">
        <f>'Game Description'!C21</f>
        <v>1</v>
      </c>
      <c r="R26" s="74">
        <f>INDEX($H$11:$L$19,MATCH($O26,$G$11:$G$18,0),MATCH(R$5,$H$10:$L$10,0))+H$19</f>
        <v>16</v>
      </c>
      <c r="S26" s="74">
        <f>INDEX($H$11:$L$19,MATCH($O26,$G$11:$G$18,0),MATCH(S$5,$H$10:$L$10,0))+I$19</f>
        <v>18</v>
      </c>
      <c r="T26" s="74">
        <f>INDEX($H$11:$L$19,MATCH($O26,$G$11:$G$18,0),MATCH(T$5,$H$10:$L$10,0))+J$19</f>
        <v>15</v>
      </c>
      <c r="U26" s="74">
        <f>K$20-(K$19+INDEX($H$11:$L$19,MATCH($O26,$G$11:$G$18,0),MATCH(U$5,$H$10:$L$10,0)))</f>
        <v>35</v>
      </c>
      <c r="V26" s="74">
        <f t="shared" ref="V26" si="12">$L$20</f>
        <v>50</v>
      </c>
      <c r="W26" s="74">
        <f t="shared" si="1"/>
        <v>7056000</v>
      </c>
      <c r="X26" s="74">
        <f>PRODUCT(R26:V26)- PRODUCT($H$19:$J$19)*U26*V26</f>
        <v>7056000</v>
      </c>
      <c r="Y26" s="75">
        <f>(X26/$X$43)*Q26</f>
        <v>2.2579200000000001E-2</v>
      </c>
      <c r="AA26" s="73" t="s">
        <v>37</v>
      </c>
      <c r="AB26" s="73" t="s">
        <v>35</v>
      </c>
      <c r="AC26" s="73">
        <v>3</v>
      </c>
      <c r="AD26" s="20">
        <f>'Game Description'!$C$22</f>
        <v>40</v>
      </c>
      <c r="AE26" s="74">
        <f>INDEX($H$11:$L$19,MATCH($AA26,$G$11:$G$19,0),MATCH(R$5,$H$10:$L$10,0))</f>
        <v>6</v>
      </c>
      <c r="AF26" s="74">
        <f>INDEX($H$11:$L$19,MATCH($AA26,$G$11:$G$19,0),MATCH(S$5,$H$10:$L$10,0))</f>
        <v>8</v>
      </c>
      <c r="AG26" s="74">
        <f>INDEX($H$11:$L$19,MATCH($AA26,$G$11:$G$19,0),MATCH(T$5,$H$10:$L$10,0))</f>
        <v>6</v>
      </c>
      <c r="AH26" s="74">
        <f>INDEX($H$11:$L$19,MATCH("GG",$G$11:$G$19,0),MATCH(AH$5,$H$10:$L$10,0))</f>
        <v>8</v>
      </c>
      <c r="AI26" s="74">
        <f>L17</f>
        <v>8</v>
      </c>
      <c r="AJ26" s="74">
        <f t="shared" si="2"/>
        <v>921600</v>
      </c>
      <c r="AK26" s="74">
        <f>PRODUCT(AE26:AI26)</f>
        <v>18432</v>
      </c>
      <c r="AL26" s="75">
        <f>IF(AD26&gt;Q24,AD26,Q24)*(AK26/$X$43)</f>
        <v>2.94912E-3</v>
      </c>
      <c r="AM26" s="78"/>
    </row>
    <row r="27" spans="1:39" ht="14.45" customHeight="1">
      <c r="A27" s="37" t="s">
        <v>33</v>
      </c>
      <c r="B27" s="37" t="s">
        <v>33</v>
      </c>
      <c r="C27" s="37" t="s">
        <v>37</v>
      </c>
      <c r="D27" s="37" t="s">
        <v>37</v>
      </c>
      <c r="E27" s="37" t="s">
        <v>33</v>
      </c>
      <c r="F27" s="34"/>
      <c r="G27" s="34"/>
      <c r="H27" s="34"/>
      <c r="I27" s="34"/>
      <c r="O27" s="45" t="s">
        <v>40</v>
      </c>
      <c r="P27" s="73">
        <v>5</v>
      </c>
      <c r="Q27" s="20">
        <f>'Game Description'!E23</f>
        <v>500</v>
      </c>
      <c r="R27" s="74">
        <f>IF(G36=$O27,3*INDEX($H$11:$L$19,MATCH($O27,$G$11:$G$18,0),MATCH(R$5,$H$10:$L$10,0)),H$20-3*INDEX($H$11:$L$19,MATCH($O27,$G$11:$G$18,0),MATCH(R$5,$H$10:$L$10,0)))</f>
        <v>6</v>
      </c>
      <c r="S27" s="74">
        <f>IF(H36=$O27,3*INDEX($H$11:$L$19,MATCH($O27,$G$11:$G$18,0),MATCH(S$5,$H$10:$L$10,0)),I$20-3*INDEX($H$11:$L$19,MATCH($O27,$G$11:$G$18,0),MATCH(S$5,$H$10:$L$10,0)))</f>
        <v>6</v>
      </c>
      <c r="T27" s="74">
        <f>IF(I36=$O27,3*INDEX($H$11:$L$19,MATCH($O27,$G$11:$G$18,0),MATCH(T$5,$H$10:$L$10,0)),J$20-3*INDEX($H$11:$L$19,MATCH($O27,$G$11:$G$18,0),MATCH(T$5,$H$10:$L$10,0)))</f>
        <v>6</v>
      </c>
      <c r="U27" s="74">
        <f>IF(J36=$O27,3*INDEX($H$11:$L$19,MATCH($O27,$G$11:$G$18,0),MATCH(U$5,$H$10:$L$10,0)),K$20-3*INDEX($H$11:$L$19,MATCH($O27,$G$11:$G$18,0),MATCH(U$5,$H$10:$L$10,0)))</f>
        <v>6</v>
      </c>
      <c r="V27" s="74">
        <f>IF(K36=$O27,3*INDEX($H$11:$L$19,MATCH($O27,$G$11:$G$18,0),MATCH(V$5,$H$10:$L$10,0)),L$20-3*INDEX($H$11:$L$19,MATCH($O27,$G$11:$G$18,0),MATCH(V$5,$H$10:$L$10,0)))</f>
        <v>9</v>
      </c>
      <c r="W27" s="74">
        <f t="shared" si="1"/>
        <v>5832000</v>
      </c>
      <c r="X27" s="74">
        <f t="shared" ref="X27:X42" si="13">PRODUCT(R27:V27)</f>
        <v>11664</v>
      </c>
      <c r="Y27" s="80">
        <f>(X27/$X$43)*Q27</f>
        <v>1.8662399999999999E-2</v>
      </c>
      <c r="Z27" s="78">
        <f>SUM(Y24:Y26)</f>
        <v>0.22993920000000001</v>
      </c>
      <c r="AA27" s="73"/>
      <c r="AB27" s="73"/>
      <c r="AC27" s="73"/>
      <c r="AD27" s="20"/>
      <c r="AE27" s="74">
        <f>H19</f>
        <v>6</v>
      </c>
      <c r="AF27" s="74">
        <f>I19</f>
        <v>8</v>
      </c>
      <c r="AG27" s="74">
        <f>J19</f>
        <v>6</v>
      </c>
      <c r="AH27" s="74">
        <f>K19</f>
        <v>7</v>
      </c>
      <c r="AI27" s="74">
        <f>L19</f>
        <v>6</v>
      </c>
      <c r="AJ27" s="74">
        <f t="shared" si="2"/>
        <v>12096000.000000002</v>
      </c>
      <c r="AK27" s="74">
        <f>PRODUCT(AE27:AI27)</f>
        <v>12096</v>
      </c>
      <c r="AL27" s="75">
        <f>AK27/X43*'Game Description'!E22</f>
        <v>3.8707200000000004E-2</v>
      </c>
    </row>
    <row r="28" spans="1:39" ht="14.45" customHeight="1">
      <c r="A28" s="37" t="s">
        <v>35</v>
      </c>
      <c r="B28" s="37" t="s">
        <v>35</v>
      </c>
      <c r="C28" s="37" t="s">
        <v>33</v>
      </c>
      <c r="D28" s="43" t="s">
        <v>37</v>
      </c>
      <c r="E28" s="37" t="s">
        <v>33</v>
      </c>
      <c r="F28" s="34"/>
      <c r="G28" s="34"/>
      <c r="H28" s="34"/>
      <c r="I28" s="34"/>
      <c r="O28" s="45" t="s">
        <v>40</v>
      </c>
      <c r="P28" s="73">
        <v>4</v>
      </c>
      <c r="Q28" s="20">
        <f>'Game Description'!$D$23</f>
        <v>50</v>
      </c>
      <c r="R28" s="74">
        <f>IF(G37=$O28,3*INDEX($H$11:$L$19,MATCH($O28,$G$11:$G$18,0),MATCH(R$5,$H$10:$L$10,0)),H$20-3*INDEX($H$11:$L$19,MATCH($O28,$G$11:$G$18,0),MATCH(R$5,$H$10:$L$10,0)))</f>
        <v>6</v>
      </c>
      <c r="S28" s="74">
        <f>IF(H37=$O28,3*INDEX($H$11:$L$19,MATCH($O28,$G$11:$G$18,0),MATCH(S$5,$H$10:$L$10,0)),I$20-3*INDEX($H$11:$L$19,MATCH($O28,$G$11:$G$18,0),MATCH(S$5,$H$10:$L$10,0)))</f>
        <v>6</v>
      </c>
      <c r="T28" s="74">
        <f>IF(I37=$O28,3*INDEX($H$11:$L$19,MATCH($O28,$G$11:$G$18,0),MATCH(T$5,$H$10:$L$10,0)),J$20-3*INDEX($H$11:$L$19,MATCH($O28,$G$11:$G$18,0),MATCH(T$5,$H$10:$L$10,0)))</f>
        <v>6</v>
      </c>
      <c r="U28" s="74">
        <f>IF(J37=$O28,3*INDEX($H$11:$L$19,MATCH($O28,$G$11:$G$18,0),MATCH(U$5,$H$10:$L$10,0)),K$20-3*INDEX($H$11:$L$19,MATCH($O28,$G$11:$G$18,0),MATCH(U$5,$H$10:$L$10,0)))</f>
        <v>6</v>
      </c>
      <c r="V28" s="74">
        <f>IF(K37=$O28,3*INDEX($H$11:$L$19,MATCH($O28,$G$11:$G$18,0),MATCH(V$5,$H$10:$L$10,0)),L$20-3*INDEX($H$11:$L$19,MATCH($O28,$G$11:$G$18,0),MATCH(V$5,$H$10:$L$10,0)))</f>
        <v>41</v>
      </c>
      <c r="W28" s="74">
        <f t="shared" si="1"/>
        <v>2656800</v>
      </c>
      <c r="X28" s="74">
        <f t="shared" si="13"/>
        <v>53136</v>
      </c>
      <c r="Y28" s="75">
        <f>(X28/$X$43)*Q28</f>
        <v>8.5017600000000006E-3</v>
      </c>
      <c r="Z28" s="79">
        <f>SUM(Z9:Z27)</f>
        <v>1.625913664</v>
      </c>
      <c r="AJ28" s="74">
        <f t="shared" si="2"/>
        <v>2419200</v>
      </c>
      <c r="AK28" s="77">
        <f>PRODUCT($H$19:$K$19)*L18</f>
        <v>6048</v>
      </c>
      <c r="AL28" s="82">
        <f>(AK28/$X$43)*'Game Description'!$D$22</f>
        <v>7.7414400000000005E-3</v>
      </c>
      <c r="AM28" s="79"/>
    </row>
    <row r="29" spans="1:39" ht="14.45" customHeight="1">
      <c r="A29" s="37" t="s">
        <v>33</v>
      </c>
      <c r="B29" s="37" t="s">
        <v>35</v>
      </c>
      <c r="C29" s="37" t="s">
        <v>33</v>
      </c>
      <c r="D29" s="37" t="s">
        <v>23</v>
      </c>
      <c r="E29" s="37" t="s">
        <v>33</v>
      </c>
      <c r="F29" s="34"/>
      <c r="G29" s="34"/>
      <c r="H29" s="34"/>
      <c r="I29" s="34"/>
      <c r="O29" s="45" t="s">
        <v>40</v>
      </c>
      <c r="P29" s="73">
        <v>4</v>
      </c>
      <c r="Q29" s="20">
        <f>'Game Description'!$D$23</f>
        <v>50</v>
      </c>
      <c r="R29" s="74">
        <f>IF(G38=$O29,3*INDEX($H$11:$L$19,MATCH($O29,$G$11:$G$18,0),MATCH(R$5,$H$10:$L$10,0)),H$20-3*INDEX($H$11:$L$19,MATCH($O29,$G$11:$G$18,0),MATCH(R$5,$H$10:$L$10,0)))</f>
        <v>6</v>
      </c>
      <c r="S29" s="74">
        <f>IF(H38=$O29,3*INDEX($H$11:$L$19,MATCH($O29,$G$11:$G$18,0),MATCH(S$5,$H$10:$L$10,0)),I$20-3*INDEX($H$11:$L$19,MATCH($O29,$G$11:$G$18,0),MATCH(S$5,$H$10:$L$10,0)))</f>
        <v>6</v>
      </c>
      <c r="T29" s="74">
        <f>IF(I38=$O29,3*INDEX($H$11:$L$19,MATCH($O29,$G$11:$G$18,0),MATCH(T$5,$H$10:$L$10,0)),J$20-3*INDEX($H$11:$L$19,MATCH($O29,$G$11:$G$18,0),MATCH(T$5,$H$10:$L$10,0)))</f>
        <v>6</v>
      </c>
      <c r="U29" s="74">
        <f>IF(J38=$O29,3*INDEX($H$11:$L$19,MATCH($O29,$G$11:$G$18,0),MATCH(U$5,$H$10:$L$10,0)),K$20-3*INDEX($H$11:$L$19,MATCH($O29,$G$11:$G$18,0),MATCH(U$5,$H$10:$L$10,0)))</f>
        <v>44</v>
      </c>
      <c r="V29" s="74">
        <f>IF(K38=$O29,3*INDEX($H$11:$L$19,MATCH($O29,$G$11:$G$18,0),MATCH(V$5,$H$10:$L$10,0)),L$20-3*INDEX($H$11:$L$19,MATCH($O29,$G$11:$G$18,0),MATCH(V$5,$H$10:$L$10,0)))</f>
        <v>9</v>
      </c>
      <c r="W29" s="74">
        <f t="shared" si="1"/>
        <v>4276800</v>
      </c>
      <c r="X29" s="74">
        <f t="shared" si="13"/>
        <v>85536</v>
      </c>
      <c r="Y29" s="75">
        <f>(X29/$X$43)*Q29</f>
        <v>1.3685760000000002E-2</v>
      </c>
      <c r="AJ29" s="74">
        <f t="shared" si="2"/>
        <v>1152000</v>
      </c>
      <c r="AK29" s="77">
        <f>PRODUCT($H$19:$J$19)*K18*$L$20</f>
        <v>28800</v>
      </c>
      <c r="AL29" s="82">
        <f>(AK29/$X$43)*'Game Description'!$C$22</f>
        <v>3.6863999999999998E-3</v>
      </c>
    </row>
    <row r="30" spans="1:39" ht="14.45" customHeight="1">
      <c r="A30" s="37" t="s">
        <v>29</v>
      </c>
      <c r="B30" s="37" t="s">
        <v>35</v>
      </c>
      <c r="C30" s="37" t="s">
        <v>31</v>
      </c>
      <c r="D30" s="37" t="s">
        <v>23</v>
      </c>
      <c r="E30" s="37" t="s">
        <v>35</v>
      </c>
      <c r="F30" s="34"/>
      <c r="G30" s="34"/>
      <c r="H30" s="34"/>
      <c r="I30" s="34"/>
      <c r="O30" s="45" t="s">
        <v>40</v>
      </c>
      <c r="P30" s="73">
        <v>4</v>
      </c>
      <c r="Q30" s="20">
        <f>'Game Description'!$D$23</f>
        <v>50</v>
      </c>
      <c r="R30" s="74">
        <f>IF(G39=$O30,3*INDEX($H$11:$L$19,MATCH($O30,$G$11:$G$18,0),MATCH(R$5,$H$10:$L$10,0)),H$20-3*INDEX($H$11:$L$19,MATCH($O30,$G$11:$G$18,0),MATCH(R$5,$H$10:$L$10,0)))</f>
        <v>6</v>
      </c>
      <c r="S30" s="74">
        <f>IF(H39=$O30,3*INDEX($H$11:$L$19,MATCH($O30,$G$11:$G$18,0),MATCH(S$5,$H$10:$L$10,0)),I$20-3*INDEX($H$11:$L$19,MATCH($O30,$G$11:$G$18,0),MATCH(S$5,$H$10:$L$10,0)))</f>
        <v>6</v>
      </c>
      <c r="T30" s="74">
        <f>IF(I39=$O30,3*INDEX($H$11:$L$19,MATCH($O30,$G$11:$G$18,0),MATCH(T$5,$H$10:$L$10,0)),J$20-3*INDEX($H$11:$L$19,MATCH($O30,$G$11:$G$18,0),MATCH(T$5,$H$10:$L$10,0)))</f>
        <v>44</v>
      </c>
      <c r="U30" s="74">
        <f>IF(J39=$O30,3*INDEX($H$11:$L$19,MATCH($O30,$G$11:$G$18,0),MATCH(U$5,$H$10:$L$10,0)),K$20-3*INDEX($H$11:$L$19,MATCH($O30,$G$11:$G$18,0),MATCH(U$5,$H$10:$L$10,0)))</f>
        <v>6</v>
      </c>
      <c r="V30" s="74">
        <f>IF(K39=$O30,3*INDEX($H$11:$L$19,MATCH($O30,$G$11:$G$18,0),MATCH(V$5,$H$10:$L$10,0)),L$20-3*INDEX($H$11:$L$19,MATCH($O30,$G$11:$G$18,0),MATCH(V$5,$H$10:$L$10,0)))</f>
        <v>9</v>
      </c>
      <c r="W30" s="74">
        <f t="shared" si="1"/>
        <v>4276800</v>
      </c>
      <c r="X30" s="74">
        <f t="shared" si="13"/>
        <v>85536</v>
      </c>
      <c r="Y30" s="75">
        <f>(X30/$X$43)*Q30</f>
        <v>1.3685760000000002E-2</v>
      </c>
      <c r="AJ30">
        <f>SUM(AJ6:AJ29)</f>
        <v>80170560</v>
      </c>
      <c r="AK30" s="77">
        <f>SUM(AK6:AK27)</f>
        <v>614304</v>
      </c>
      <c r="AL30" s="79">
        <f>SUM(AL6:AL29)</f>
        <v>0.25654579199999999</v>
      </c>
    </row>
    <row r="31" spans="1:39" ht="14.45" customHeight="1">
      <c r="A31" s="43" t="s">
        <v>29</v>
      </c>
      <c r="B31" s="37" t="s">
        <v>37</v>
      </c>
      <c r="C31" s="37" t="s">
        <v>23</v>
      </c>
      <c r="D31" s="37" t="s">
        <v>31</v>
      </c>
      <c r="E31" s="37" t="s">
        <v>33</v>
      </c>
      <c r="F31" s="34"/>
      <c r="G31" s="34"/>
      <c r="H31" s="34"/>
      <c r="I31" s="34"/>
      <c r="O31" s="45" t="s">
        <v>40</v>
      </c>
      <c r="P31" s="73">
        <v>4</v>
      </c>
      <c r="Q31" s="20">
        <f>'Game Description'!$D$23</f>
        <v>50</v>
      </c>
      <c r="R31" s="74">
        <f>IF(G40=$O31,3*INDEX($H$11:$L$19,MATCH($O31,$G$11:$G$18,0),MATCH(R$5,$H$10:$L$10,0)),H$20-3*INDEX($H$11:$L$19,MATCH($O31,$G$11:$G$18,0),MATCH(R$5,$H$10:$L$10,0)))</f>
        <v>6</v>
      </c>
      <c r="S31" s="74">
        <f>IF(H40=$O31,3*INDEX($H$11:$L$19,MATCH($O31,$G$11:$G$18,0),MATCH(S$5,$H$10:$L$10,0)),I$20-3*INDEX($H$11:$L$19,MATCH($O31,$G$11:$G$18,0),MATCH(S$5,$H$10:$L$10,0)))</f>
        <v>44</v>
      </c>
      <c r="T31" s="74">
        <f>IF(I40=$O31,3*INDEX($H$11:$L$19,MATCH($O31,$G$11:$G$18,0),MATCH(T$5,$H$10:$L$10,0)),J$20-3*INDEX($H$11:$L$19,MATCH($O31,$G$11:$G$18,0),MATCH(T$5,$H$10:$L$10,0)))</f>
        <v>6</v>
      </c>
      <c r="U31" s="74">
        <f>IF(J40=$O31,3*INDEX($H$11:$L$19,MATCH($O31,$G$11:$G$18,0),MATCH(U$5,$H$10:$L$10,0)),K$20-3*INDEX($H$11:$L$19,MATCH($O31,$G$11:$G$18,0),MATCH(U$5,$H$10:$L$10,0)))</f>
        <v>6</v>
      </c>
      <c r="V31" s="74">
        <f>IF(K40=$O31,3*INDEX($H$11:$L$19,MATCH($O31,$G$11:$G$18,0),MATCH(V$5,$H$10:$L$10,0)),L$20-3*INDEX($H$11:$L$19,MATCH($O31,$G$11:$G$18,0),MATCH(V$5,$H$10:$L$10,0)))</f>
        <v>9</v>
      </c>
      <c r="W31" s="74">
        <f t="shared" si="1"/>
        <v>4276800</v>
      </c>
      <c r="X31" s="74">
        <f t="shared" si="13"/>
        <v>85536</v>
      </c>
      <c r="Y31" s="75">
        <f>(X31/$X$43)*Q31</f>
        <v>1.3685760000000002E-2</v>
      </c>
      <c r="AL31" s="79"/>
    </row>
    <row r="32" spans="1:39" ht="14.45" customHeight="1">
      <c r="A32" s="37" t="s">
        <v>29</v>
      </c>
      <c r="B32" s="81" t="s">
        <v>37</v>
      </c>
      <c r="C32" s="37" t="s">
        <v>31</v>
      </c>
      <c r="D32" s="37" t="s">
        <v>37</v>
      </c>
      <c r="E32" s="43" t="s">
        <v>37</v>
      </c>
      <c r="F32" s="34"/>
      <c r="G32" s="34"/>
      <c r="H32" s="34"/>
      <c r="I32" s="34"/>
      <c r="O32" s="45" t="s">
        <v>40</v>
      </c>
      <c r="P32" s="73">
        <v>4</v>
      </c>
      <c r="Q32" s="20">
        <f>'Game Description'!$D$23</f>
        <v>50</v>
      </c>
      <c r="R32" s="74">
        <f>IF(G41=$O32,3*INDEX($H$11:$L$19,MATCH($O32,$G$11:$G$18,0),MATCH(R$5,$H$10:$L$10,0)),H$20-3*INDEX($H$11:$L$19,MATCH($O32,$G$11:$G$18,0),MATCH(R$5,$H$10:$L$10,0)))</f>
        <v>44</v>
      </c>
      <c r="S32" s="74">
        <f>IF(H41=$O32,3*INDEX($H$11:$L$19,MATCH($O32,$G$11:$G$18,0),MATCH(S$5,$H$10:$L$10,0)),I$20-3*INDEX($H$11:$L$19,MATCH($O32,$G$11:$G$18,0),MATCH(S$5,$H$10:$L$10,0)))</f>
        <v>6</v>
      </c>
      <c r="T32" s="74">
        <f>IF(I41=$O32,3*INDEX($H$11:$L$19,MATCH($O32,$G$11:$G$18,0),MATCH(T$5,$H$10:$L$10,0)),J$20-3*INDEX($H$11:$L$19,MATCH($O32,$G$11:$G$18,0),MATCH(T$5,$H$10:$L$10,0)))</f>
        <v>6</v>
      </c>
      <c r="U32" s="74">
        <f>IF(J41=$O32,3*INDEX($H$11:$L$19,MATCH($O32,$G$11:$G$18,0),MATCH(U$5,$H$10:$L$10,0)),K$20-3*INDEX($H$11:$L$19,MATCH($O32,$G$11:$G$18,0),MATCH(U$5,$H$10:$L$10,0)))</f>
        <v>6</v>
      </c>
      <c r="V32" s="74">
        <f>IF(K41=$O32,3*INDEX($H$11:$L$19,MATCH($O32,$G$11:$G$18,0),MATCH(V$5,$H$10:$L$10,0)),L$20-3*INDEX($H$11:$L$19,MATCH($O32,$G$11:$G$18,0),MATCH(V$5,$H$10:$L$10,0)))</f>
        <v>9</v>
      </c>
      <c r="W32" s="74">
        <f t="shared" si="1"/>
        <v>4276800</v>
      </c>
      <c r="X32" s="74">
        <f t="shared" si="13"/>
        <v>85536</v>
      </c>
      <c r="Y32" s="75">
        <f>(X32/$X$43)*Q32</f>
        <v>1.3685760000000002E-2</v>
      </c>
      <c r="AL32" s="78"/>
    </row>
    <row r="33" spans="1:29" ht="14.45" customHeight="1">
      <c r="A33" s="37" t="s">
        <v>27</v>
      </c>
      <c r="B33" s="37" t="s">
        <v>37</v>
      </c>
      <c r="C33" s="37" t="s">
        <v>29</v>
      </c>
      <c r="D33" s="37" t="s">
        <v>33</v>
      </c>
      <c r="E33" s="37" t="s">
        <v>35</v>
      </c>
      <c r="F33" s="34"/>
      <c r="G33" s="34"/>
      <c r="H33" s="34"/>
      <c r="I33" s="34"/>
      <c r="J33" s="34"/>
      <c r="K33" s="34"/>
      <c r="L33" s="34"/>
      <c r="O33" s="45" t="s">
        <v>40</v>
      </c>
      <c r="P33" s="73">
        <v>3</v>
      </c>
      <c r="Q33" s="20">
        <f>'Game Description'!$C$23</f>
        <v>10</v>
      </c>
      <c r="R33" s="74">
        <f>IF(G42=$O33,3*INDEX($H$11:$L$19,MATCH($O33,$G$11:$G$18,0),MATCH(R$5,$H$10:$L$10,0)),H$20-3*INDEX($H$11:$L$19,MATCH($O33,$G$11:$G$18,0),MATCH(R$5,$H$10:$L$10,0)))</f>
        <v>44</v>
      </c>
      <c r="S33" s="74">
        <f>IF(H42=$O33,3*INDEX($H$11:$L$19,MATCH($O33,$G$11:$G$18,0),MATCH(S$5,$H$10:$L$10,0)),I$20-3*INDEX($H$11:$L$19,MATCH($O33,$G$11:$G$18,0),MATCH(S$5,$H$10:$L$10,0)))</f>
        <v>6</v>
      </c>
      <c r="T33" s="74">
        <f>IF(I42=$O33,3*INDEX($H$11:$L$19,MATCH($O33,$G$11:$G$18,0),MATCH(T$5,$H$10:$L$10,0)),J$20-3*INDEX($H$11:$L$19,MATCH($O33,$G$11:$G$18,0),MATCH(T$5,$H$10:$L$10,0)))</f>
        <v>6</v>
      </c>
      <c r="U33" s="74">
        <f>IF(J42=$O33,3*INDEX($H$11:$L$19,MATCH($O33,$G$11:$G$18,0),MATCH(U$5,$H$10:$L$10,0)),K$20-3*INDEX($H$11:$L$19,MATCH($O33,$G$11:$G$18,0),MATCH(U$5,$H$10:$L$10,0)))</f>
        <v>6</v>
      </c>
      <c r="V33" s="74">
        <f>IF(K42=$O33,3*INDEX($H$11:$L$19,MATCH($O33,$G$11:$G$18,0),MATCH(V$5,$H$10:$L$10,0)),L$20-3*INDEX($H$11:$L$19,MATCH($O33,$G$11:$G$18,0),MATCH(V$5,$H$10:$L$10,0)))</f>
        <v>41</v>
      </c>
      <c r="W33" s="74">
        <f t="shared" si="1"/>
        <v>3896640</v>
      </c>
      <c r="X33" s="74">
        <f t="shared" si="13"/>
        <v>389664</v>
      </c>
      <c r="Y33" s="75">
        <f>(X33/$X$43)*Q33</f>
        <v>1.2469248E-2</v>
      </c>
    </row>
    <row r="34" spans="1:29" ht="14.45" customHeight="1">
      <c r="A34" s="37" t="s">
        <v>31</v>
      </c>
      <c r="B34" s="37" t="s">
        <v>33</v>
      </c>
      <c r="C34" s="37" t="s">
        <v>29</v>
      </c>
      <c r="D34" s="37" t="s">
        <v>35</v>
      </c>
      <c r="E34" s="37" t="s">
        <v>31</v>
      </c>
      <c r="F34" s="34"/>
      <c r="G34" s="34"/>
      <c r="H34" s="34"/>
      <c r="I34" s="34"/>
      <c r="J34" s="34"/>
      <c r="K34" s="34"/>
      <c r="L34" s="34"/>
      <c r="O34" s="45" t="s">
        <v>40</v>
      </c>
      <c r="P34" s="73">
        <v>3</v>
      </c>
      <c r="Q34" s="20">
        <f>'Game Description'!$C$23</f>
        <v>10</v>
      </c>
      <c r="R34" s="74">
        <f>IF(G43=$O34,3*INDEX($H$11:$L$19,MATCH($O34,$G$11:$G$18,0),MATCH(R$5,$H$10:$L$10,0)),H$20-3*INDEX($H$11:$L$19,MATCH($O34,$G$11:$G$18,0),MATCH(R$5,$H$10:$L$10,0)))</f>
        <v>6</v>
      </c>
      <c r="S34" s="74">
        <f>IF(H43=$O34,3*INDEX($H$11:$L$19,MATCH($O34,$G$11:$G$18,0),MATCH(S$5,$H$10:$L$10,0)),I$20-3*INDEX($H$11:$L$19,MATCH($O34,$G$11:$G$18,0),MATCH(S$5,$H$10:$L$10,0)))</f>
        <v>44</v>
      </c>
      <c r="T34" s="74">
        <f>IF(I43=$O34,3*INDEX($H$11:$L$19,MATCH($O34,$G$11:$G$18,0),MATCH(T$5,$H$10:$L$10,0)),J$20-3*INDEX($H$11:$L$19,MATCH($O34,$G$11:$G$18,0),MATCH(T$5,$H$10:$L$10,0)))</f>
        <v>6</v>
      </c>
      <c r="U34" s="74">
        <f>IF(J43=$O34,3*INDEX($H$11:$L$19,MATCH($O34,$G$11:$G$18,0),MATCH(U$5,$H$10:$L$10,0)),K$20-3*INDEX($H$11:$L$19,MATCH($O34,$G$11:$G$18,0),MATCH(U$5,$H$10:$L$10,0)))</f>
        <v>6</v>
      </c>
      <c r="V34" s="74">
        <f>IF(K43=$O34,3*INDEX($H$11:$L$19,MATCH($O34,$G$11:$G$18,0),MATCH(V$5,$H$10:$L$10,0)),L$20-3*INDEX($H$11:$L$19,MATCH($O34,$G$11:$G$18,0),MATCH(V$5,$H$10:$L$10,0)))</f>
        <v>41</v>
      </c>
      <c r="W34" s="74">
        <f t="shared" si="1"/>
        <v>3896640</v>
      </c>
      <c r="X34" s="74">
        <f t="shared" si="13"/>
        <v>389664</v>
      </c>
      <c r="Y34" s="75">
        <f>(X34/$X$43)*Q34</f>
        <v>1.2469248E-2</v>
      </c>
    </row>
    <row r="35" spans="1:29" ht="14.45" customHeight="1">
      <c r="A35" s="37" t="s">
        <v>37</v>
      </c>
      <c r="B35" s="37" t="s">
        <v>31</v>
      </c>
      <c r="C35" s="37" t="s">
        <v>29</v>
      </c>
      <c r="D35" s="37" t="s">
        <v>37</v>
      </c>
      <c r="E35" s="37" t="s">
        <v>31</v>
      </c>
      <c r="F35" s="34"/>
      <c r="G35" s="89" t="s">
        <v>96</v>
      </c>
      <c r="H35" s="89"/>
      <c r="I35" s="89"/>
      <c r="J35" s="89"/>
      <c r="K35" s="89"/>
      <c r="L35" s="34"/>
      <c r="O35" s="45" t="s">
        <v>40</v>
      </c>
      <c r="P35" s="73">
        <v>3</v>
      </c>
      <c r="Q35" s="20">
        <f>'Game Description'!$C$23</f>
        <v>10</v>
      </c>
      <c r="R35" s="74">
        <f>IF(G44=$O35,3*INDEX($H$11:$L$19,MATCH($O35,$G$11:$G$18,0),MATCH(R$5,$H$10:$L$10,0)),H$20-3*INDEX($H$11:$L$19,MATCH($O35,$G$11:$G$18,0),MATCH(R$5,$H$10:$L$10,0)))</f>
        <v>44</v>
      </c>
      <c r="S35" s="74">
        <f>IF(H44=$O35,3*INDEX($H$11:$L$19,MATCH($O35,$G$11:$G$18,0),MATCH(S$5,$H$10:$L$10,0)),I$20-3*INDEX($H$11:$L$19,MATCH($O35,$G$11:$G$18,0),MATCH(S$5,$H$10:$L$10,0)))</f>
        <v>6</v>
      </c>
      <c r="T35" s="74">
        <f>IF(I44=$O35,3*INDEX($H$11:$L$19,MATCH($O35,$G$11:$G$18,0),MATCH(T$5,$H$10:$L$10,0)),J$20-3*INDEX($H$11:$L$19,MATCH($O35,$G$11:$G$18,0),MATCH(T$5,$H$10:$L$10,0)))</f>
        <v>44</v>
      </c>
      <c r="U35" s="74">
        <f>IF(J44=$O35,3*INDEX($H$11:$L$19,MATCH($O35,$G$11:$G$18,0),MATCH(U$5,$H$10:$L$10,0)),K$20-3*INDEX($H$11:$L$19,MATCH($O35,$G$11:$G$18,0),MATCH(U$5,$H$10:$L$10,0)))</f>
        <v>6</v>
      </c>
      <c r="V35" s="74">
        <f>IF(K44=$O35,3*INDEX($H$11:$L$19,MATCH($O35,$G$11:$G$18,0),MATCH(V$5,$H$10:$L$10,0)),L$20-3*INDEX($H$11:$L$19,MATCH($O35,$G$11:$G$18,0),MATCH(V$5,$H$10:$L$10,0)))</f>
        <v>9</v>
      </c>
      <c r="W35" s="74">
        <f t="shared" si="1"/>
        <v>6272640</v>
      </c>
      <c r="X35" s="74">
        <f t="shared" si="13"/>
        <v>627264</v>
      </c>
      <c r="Y35" s="75">
        <f>(X35/$X$43)*Q35</f>
        <v>2.0072448E-2</v>
      </c>
    </row>
    <row r="36" spans="1:29" ht="14.45" customHeight="1">
      <c r="A36" s="37" t="s">
        <v>31</v>
      </c>
      <c r="B36" s="37" t="s">
        <v>35</v>
      </c>
      <c r="C36" s="37" t="s">
        <v>35</v>
      </c>
      <c r="D36" s="37" t="s">
        <v>37</v>
      </c>
      <c r="E36" s="37" t="s">
        <v>37</v>
      </c>
      <c r="F36" s="34"/>
      <c r="G36" s="45" t="s">
        <v>40</v>
      </c>
      <c r="H36" s="45" t="s">
        <v>40</v>
      </c>
      <c r="I36" s="45" t="s">
        <v>40</v>
      </c>
      <c r="J36" s="45" t="s">
        <v>40</v>
      </c>
      <c r="K36" s="45" t="s">
        <v>40</v>
      </c>
      <c r="L36" s="34"/>
      <c r="O36" s="45" t="s">
        <v>40</v>
      </c>
      <c r="P36" s="73">
        <v>3</v>
      </c>
      <c r="Q36" s="20">
        <f>'Game Description'!$C$23</f>
        <v>10</v>
      </c>
      <c r="R36" s="74">
        <f>IF(G45=$O36,3*INDEX($H$11:$L$19,MATCH($O36,$G$11:$G$18,0),MATCH(R$5,$H$10:$L$10,0)),H$20-3*INDEX($H$11:$L$19,MATCH($O36,$G$11:$G$18,0),MATCH(R$5,$H$10:$L$10,0)))</f>
        <v>6</v>
      </c>
      <c r="S36" s="74">
        <f>IF(H45=$O36,3*INDEX($H$11:$L$19,MATCH($O36,$G$11:$G$18,0),MATCH(S$5,$H$10:$L$10,0)),I$20-3*INDEX($H$11:$L$19,MATCH($O36,$G$11:$G$18,0),MATCH(S$5,$H$10:$L$10,0)))</f>
        <v>44</v>
      </c>
      <c r="T36" s="74">
        <f>IF(I45=$O36,3*INDEX($H$11:$L$19,MATCH($O36,$G$11:$G$18,0),MATCH(T$5,$H$10:$L$10,0)),J$20-3*INDEX($H$11:$L$19,MATCH($O36,$G$11:$G$18,0),MATCH(T$5,$H$10:$L$10,0)))</f>
        <v>6</v>
      </c>
      <c r="U36" s="74">
        <f>IF(J45=$O36,3*INDEX($H$11:$L$19,MATCH($O36,$G$11:$G$18,0),MATCH(U$5,$H$10:$L$10,0)),K$20-3*INDEX($H$11:$L$19,MATCH($O36,$G$11:$G$18,0),MATCH(U$5,$H$10:$L$10,0)))</f>
        <v>44</v>
      </c>
      <c r="V36" s="74">
        <f>IF(K45=$O36,3*INDEX($H$11:$L$19,MATCH($O36,$G$11:$G$18,0),MATCH(V$5,$H$10:$L$10,0)),L$20-3*INDEX($H$11:$L$19,MATCH($O36,$G$11:$G$18,0),MATCH(V$5,$H$10:$L$10,0)))</f>
        <v>9</v>
      </c>
      <c r="W36" s="74">
        <f t="shared" si="1"/>
        <v>6272640</v>
      </c>
      <c r="X36" s="74">
        <f t="shared" si="13"/>
        <v>627264</v>
      </c>
      <c r="Y36" s="75">
        <f>(X36/$X$43)*Q36</f>
        <v>2.0072448E-2</v>
      </c>
    </row>
    <row r="37" spans="1:29" ht="14.45" customHeight="1">
      <c r="A37" s="37" t="s">
        <v>35</v>
      </c>
      <c r="B37" s="43" t="s">
        <v>37</v>
      </c>
      <c r="C37" s="37" t="s">
        <v>37</v>
      </c>
      <c r="D37" s="37" t="s">
        <v>29</v>
      </c>
      <c r="E37" s="37" t="s">
        <v>37</v>
      </c>
      <c r="F37" s="34"/>
      <c r="G37" s="45" t="s">
        <v>40</v>
      </c>
      <c r="H37" s="45" t="s">
        <v>40</v>
      </c>
      <c r="I37" s="45" t="s">
        <v>40</v>
      </c>
      <c r="J37" s="45" t="s">
        <v>40</v>
      </c>
      <c r="K37" s="73" t="s">
        <v>97</v>
      </c>
      <c r="L37" s="34"/>
      <c r="O37" s="45" t="s">
        <v>40</v>
      </c>
      <c r="P37" s="73">
        <v>3</v>
      </c>
      <c r="Q37" s="20">
        <f>'Game Description'!$C$23</f>
        <v>10</v>
      </c>
      <c r="R37" s="74">
        <f>IF(G46=$O37,3*INDEX($H$11:$L$19,MATCH($O37,$G$11:$G$18,0),MATCH(R$5,$H$10:$L$10,0)),H$20-3*INDEX($H$11:$L$19,MATCH($O37,$G$11:$G$18,0),MATCH(R$5,$H$10:$L$10,0)))</f>
        <v>6</v>
      </c>
      <c r="S37" s="74">
        <f>IF(H46=$O37,3*INDEX($H$11:$L$19,MATCH($O37,$G$11:$G$18,0),MATCH(S$5,$H$10:$L$10,0)),I$20-3*INDEX($H$11:$L$19,MATCH($O37,$G$11:$G$18,0),MATCH(S$5,$H$10:$L$10,0)))</f>
        <v>6</v>
      </c>
      <c r="T37" s="74">
        <f>IF(I46=$O37,3*INDEX($H$11:$L$19,MATCH($O37,$G$11:$G$18,0),MATCH(T$5,$H$10:$L$10,0)),J$20-3*INDEX($H$11:$L$19,MATCH($O37,$G$11:$G$18,0),MATCH(T$5,$H$10:$L$10,0)))</f>
        <v>44</v>
      </c>
      <c r="U37" s="74">
        <f>IF(J46=$O37,3*INDEX($H$11:$L$19,MATCH($O37,$G$11:$G$18,0),MATCH(U$5,$H$10:$L$10,0)),K$20-3*INDEX($H$11:$L$19,MATCH($O37,$G$11:$G$18,0),MATCH(U$5,$H$10:$L$10,0)))</f>
        <v>6</v>
      </c>
      <c r="V37" s="74">
        <f>IF(K46=$O37,3*INDEX($H$11:$L$19,MATCH($O37,$G$11:$G$18,0),MATCH(V$5,$H$10:$L$10,0)),L$20-3*INDEX($H$11:$L$19,MATCH($O37,$G$11:$G$18,0),MATCH(V$5,$H$10:$L$10,0)))</f>
        <v>41</v>
      </c>
      <c r="W37" s="74">
        <f t="shared" si="1"/>
        <v>3896640</v>
      </c>
      <c r="X37" s="74">
        <f t="shared" si="13"/>
        <v>389664</v>
      </c>
      <c r="Y37" s="75">
        <f>(X37/$X$43)*Q37</f>
        <v>1.2469248E-2</v>
      </c>
    </row>
    <row r="38" spans="1:29" ht="14.45" customHeight="1">
      <c r="A38" s="37" t="s">
        <v>35</v>
      </c>
      <c r="B38" s="37" t="s">
        <v>37</v>
      </c>
      <c r="C38" s="37" t="s">
        <v>33</v>
      </c>
      <c r="D38" s="37" t="s">
        <v>29</v>
      </c>
      <c r="E38" s="37" t="s">
        <v>33</v>
      </c>
      <c r="F38" s="34"/>
      <c r="G38" s="73" t="s">
        <v>40</v>
      </c>
      <c r="H38" s="73" t="s">
        <v>40</v>
      </c>
      <c r="I38" s="73" t="s">
        <v>40</v>
      </c>
      <c r="J38" s="73" t="s">
        <v>97</v>
      </c>
      <c r="K38" s="73" t="s">
        <v>40</v>
      </c>
      <c r="L38" s="34"/>
      <c r="O38" s="45" t="s">
        <v>40</v>
      </c>
      <c r="P38" s="73">
        <v>3</v>
      </c>
      <c r="Q38" s="20">
        <f>'Game Description'!$C$23</f>
        <v>10</v>
      </c>
      <c r="R38" s="74">
        <f>IF(G47=$O38,3*INDEX($H$11:$L$19,MATCH($O38,$G$11:$G$18,0),MATCH(R$5,$H$10:$L$10,0)),H$20-3*INDEX($H$11:$L$19,MATCH($O38,$G$11:$G$18,0),MATCH(R$5,$H$10:$L$10,0)))</f>
        <v>44</v>
      </c>
      <c r="S38" s="74">
        <f>IF(H47=$O38,3*INDEX($H$11:$L$19,MATCH($O38,$G$11:$G$18,0),MATCH(S$5,$H$10:$L$10,0)),I$20-3*INDEX($H$11:$L$19,MATCH($O38,$G$11:$G$18,0),MATCH(S$5,$H$10:$L$10,0)))</f>
        <v>6</v>
      </c>
      <c r="T38" s="74">
        <f>IF(I47=$O38,3*INDEX($H$11:$L$19,MATCH($O38,$G$11:$G$18,0),MATCH(T$5,$H$10:$L$10,0)),J$20-3*INDEX($H$11:$L$19,MATCH($O38,$G$11:$G$18,0),MATCH(T$5,$H$10:$L$10,0)))</f>
        <v>6</v>
      </c>
      <c r="U38" s="74">
        <f>IF(J47=$O38,3*INDEX($H$11:$L$19,MATCH($O38,$G$11:$G$18,0),MATCH(U$5,$H$10:$L$10,0)),K$20-3*INDEX($H$11:$L$19,MATCH($O38,$G$11:$G$18,0),MATCH(U$5,$H$10:$L$10,0)))</f>
        <v>44</v>
      </c>
      <c r="V38" s="74">
        <f>IF(K47=$O38,3*INDEX($H$11:$L$19,MATCH($O38,$G$11:$G$18,0),MATCH(V$5,$H$10:$L$10,0)),L$20-3*INDEX($H$11:$L$19,MATCH($O38,$G$11:$G$18,0),MATCH(V$5,$H$10:$L$10,0)))</f>
        <v>9</v>
      </c>
      <c r="W38" s="74">
        <f t="shared" si="1"/>
        <v>6272640</v>
      </c>
      <c r="X38" s="74">
        <f t="shared" si="13"/>
        <v>627264</v>
      </c>
      <c r="Y38" s="75">
        <f>(X38/$X$43)*Q38</f>
        <v>2.0072448E-2</v>
      </c>
    </row>
    <row r="39" spans="1:29" ht="14.45" customHeight="1">
      <c r="A39" s="37" t="s">
        <v>37</v>
      </c>
      <c r="B39" s="37" t="s">
        <v>35</v>
      </c>
      <c r="C39" s="37" t="s">
        <v>35</v>
      </c>
      <c r="D39" s="81" t="s">
        <v>25</v>
      </c>
      <c r="E39" s="37" t="s">
        <v>33</v>
      </c>
      <c r="F39" s="34"/>
      <c r="G39" s="73" t="s">
        <v>40</v>
      </c>
      <c r="H39" s="73" t="s">
        <v>40</v>
      </c>
      <c r="I39" s="76" t="s">
        <v>97</v>
      </c>
      <c r="J39" s="73" t="s">
        <v>40</v>
      </c>
      <c r="K39" s="73" t="s">
        <v>40</v>
      </c>
      <c r="L39" s="34"/>
      <c r="O39" s="45" t="s">
        <v>40</v>
      </c>
      <c r="P39" s="73">
        <v>3</v>
      </c>
      <c r="Q39" s="20">
        <f>'Game Description'!$C$23</f>
        <v>10</v>
      </c>
      <c r="R39" s="74">
        <f>IF(G48=$O39,3*INDEX($H$11:$L$19,MATCH($O39,$G$11:$G$18,0),MATCH(R$5,$H$10:$L$10,0)),H$20-3*INDEX($H$11:$L$19,MATCH($O39,$G$11:$G$18,0),MATCH(R$5,$H$10:$L$10,0)))</f>
        <v>6</v>
      </c>
      <c r="S39" s="74">
        <f>IF(H48=$O39,3*INDEX($H$11:$L$19,MATCH($O39,$G$11:$G$18,0),MATCH(S$5,$H$10:$L$10,0)),I$20-3*INDEX($H$11:$L$19,MATCH($O39,$G$11:$G$18,0),MATCH(S$5,$H$10:$L$10,0)))</f>
        <v>6</v>
      </c>
      <c r="T39" s="74">
        <f>IF(I48=$O39,3*INDEX($H$11:$L$19,MATCH($O39,$G$11:$G$18,0),MATCH(T$5,$H$10:$L$10,0)),J$20-3*INDEX($H$11:$L$19,MATCH($O39,$G$11:$G$18,0),MATCH(T$5,$H$10:$L$10,0)))</f>
        <v>44</v>
      </c>
      <c r="U39" s="74">
        <f>IF(J48=$O39,3*INDEX($H$11:$L$19,MATCH($O39,$G$11:$G$18,0),MATCH(U$5,$H$10:$L$10,0)),K$20-3*INDEX($H$11:$L$19,MATCH($O39,$G$11:$G$18,0),MATCH(U$5,$H$10:$L$10,0)))</f>
        <v>44</v>
      </c>
      <c r="V39" s="74">
        <f>IF(K48=$O39,3*INDEX($H$11:$L$19,MATCH($O39,$G$11:$G$18,0),MATCH(V$5,$H$10:$L$10,0)),L$20-3*INDEX($H$11:$L$19,MATCH($O39,$G$11:$G$18,0),MATCH(V$5,$H$10:$L$10,0)))</f>
        <v>9</v>
      </c>
      <c r="W39" s="74">
        <f t="shared" si="1"/>
        <v>6272640</v>
      </c>
      <c r="X39" s="74">
        <f t="shared" si="13"/>
        <v>627264</v>
      </c>
      <c r="Y39" s="75">
        <f>(X39/$X$43)*Q39</f>
        <v>2.0072448E-2</v>
      </c>
    </row>
    <row r="40" spans="1:29" ht="14.45" customHeight="1">
      <c r="A40" s="43" t="s">
        <v>37</v>
      </c>
      <c r="B40" s="37" t="s">
        <v>33</v>
      </c>
      <c r="C40" s="37" t="s">
        <v>37</v>
      </c>
      <c r="D40" s="37" t="s">
        <v>29</v>
      </c>
      <c r="E40" s="37" t="s">
        <v>40</v>
      </c>
      <c r="F40" s="34"/>
      <c r="G40" s="73" t="s">
        <v>40</v>
      </c>
      <c r="H40" s="76" t="s">
        <v>97</v>
      </c>
      <c r="I40" s="73" t="s">
        <v>40</v>
      </c>
      <c r="J40" s="73" t="s">
        <v>40</v>
      </c>
      <c r="K40" s="73" t="s">
        <v>40</v>
      </c>
      <c r="L40" s="34"/>
      <c r="O40" s="45" t="s">
        <v>40</v>
      </c>
      <c r="P40" s="73">
        <v>3</v>
      </c>
      <c r="Q40" s="20">
        <f>'Game Description'!$C$23</f>
        <v>10</v>
      </c>
      <c r="R40" s="74">
        <f>IF(G49=$O40,3*INDEX($H$11:$L$19,MATCH($O40,$G$11:$G$18,0),MATCH(R$5,$H$10:$L$10,0)),H$20-3*INDEX($H$11:$L$19,MATCH($O40,$G$11:$G$18,0),MATCH(R$5,$H$10:$L$10,0)))</f>
        <v>6</v>
      </c>
      <c r="S40" s="74">
        <f>IF(H49=$O40,3*INDEX($H$11:$L$19,MATCH($O40,$G$11:$G$18,0),MATCH(S$5,$H$10:$L$10,0)),I$20-3*INDEX($H$11:$L$19,MATCH($O40,$G$11:$G$18,0),MATCH(S$5,$H$10:$L$10,0)))</f>
        <v>44</v>
      </c>
      <c r="T40" s="74">
        <f>IF(I49=$O40,3*INDEX($H$11:$L$19,MATCH($O40,$G$11:$G$18,0),MATCH(T$5,$H$10:$L$10,0)),J$20-3*INDEX($H$11:$L$19,MATCH($O40,$G$11:$G$18,0),MATCH(T$5,$H$10:$L$10,0)))</f>
        <v>44</v>
      </c>
      <c r="U40" s="74">
        <f>IF(J49=$O40,3*INDEX($H$11:$L$19,MATCH($O40,$G$11:$G$18,0),MATCH(U$5,$H$10:$L$10,0)),K$20-3*INDEX($H$11:$L$19,MATCH($O40,$G$11:$G$18,0),MATCH(U$5,$H$10:$L$10,0)))</f>
        <v>6</v>
      </c>
      <c r="V40" s="74">
        <f>IF(K49=$O40,3*INDEX($H$11:$L$19,MATCH($O40,$G$11:$G$18,0),MATCH(V$5,$H$10:$L$10,0)),L$20-3*INDEX($H$11:$L$19,MATCH($O40,$G$11:$G$18,0),MATCH(V$5,$H$10:$L$10,0)))</f>
        <v>9</v>
      </c>
      <c r="W40" s="74">
        <f t="shared" si="1"/>
        <v>6272640</v>
      </c>
      <c r="X40" s="74">
        <f t="shared" si="13"/>
        <v>627264</v>
      </c>
      <c r="Y40" s="75">
        <f>(X40/$X$43)*Q40</f>
        <v>2.0072448E-2</v>
      </c>
    </row>
    <row r="41" spans="1:29" ht="14.45" customHeight="1">
      <c r="A41" s="37" t="s">
        <v>33</v>
      </c>
      <c r="B41" s="37" t="s">
        <v>33</v>
      </c>
      <c r="C41" s="37" t="s">
        <v>33</v>
      </c>
      <c r="D41" s="37" t="s">
        <v>37</v>
      </c>
      <c r="E41" s="37" t="s">
        <v>27</v>
      </c>
      <c r="F41" s="34"/>
      <c r="G41" s="76" t="s">
        <v>97</v>
      </c>
      <c r="H41" s="73" t="s">
        <v>40</v>
      </c>
      <c r="I41" s="73" t="s">
        <v>40</v>
      </c>
      <c r="J41" s="73" t="s">
        <v>40</v>
      </c>
      <c r="K41" s="73" t="s">
        <v>40</v>
      </c>
      <c r="L41" s="34"/>
      <c r="O41" s="45" t="s">
        <v>40</v>
      </c>
      <c r="P41" s="73">
        <v>3</v>
      </c>
      <c r="Q41" s="20">
        <f>'Game Description'!$C$23</f>
        <v>10</v>
      </c>
      <c r="R41" s="74">
        <f>IF(G50=$O41,3*INDEX($H$11:$L$19,MATCH($O41,$G$11:$G$18,0),MATCH(R$5,$H$10:$L$10,0)),H$20-3*INDEX($H$11:$L$19,MATCH($O41,$G$11:$G$18,0),MATCH(R$5,$H$10:$L$10,0)))</f>
        <v>44</v>
      </c>
      <c r="S41" s="74">
        <f>IF(H50=$O41,3*INDEX($H$11:$L$19,MATCH($O41,$G$11:$G$18,0),MATCH(S$5,$H$10:$L$10,0)),I$20-3*INDEX($H$11:$L$19,MATCH($O41,$G$11:$G$18,0),MATCH(S$5,$H$10:$L$10,0)))</f>
        <v>44</v>
      </c>
      <c r="T41" s="74">
        <f>IF(I50=$O41,3*INDEX($H$11:$L$19,MATCH($O41,$G$11:$G$18,0),MATCH(T$5,$H$10:$L$10,0)),J$20-3*INDEX($H$11:$L$19,MATCH($O41,$G$11:$G$18,0),MATCH(T$5,$H$10:$L$10,0)))</f>
        <v>6</v>
      </c>
      <c r="U41" s="74">
        <f>IF(J50=$O41,3*INDEX($H$11:$L$19,MATCH($O41,$G$11:$G$18,0),MATCH(U$5,$H$10:$L$10,0)),K$20-3*INDEX($H$11:$L$19,MATCH($O41,$G$11:$G$18,0),MATCH(U$5,$H$10:$L$10,0)))</f>
        <v>6</v>
      </c>
      <c r="V41" s="74">
        <f>IF(K50=$O41,3*INDEX($H$11:$L$19,MATCH($O41,$G$11:$G$18,0),MATCH(V$5,$H$10:$L$10,0)),L$20-3*INDEX($H$11:$L$19,MATCH($O41,$G$11:$G$18,0),MATCH(V$5,$H$10:$L$10,0)))</f>
        <v>9</v>
      </c>
      <c r="W41" s="74">
        <f t="shared" si="1"/>
        <v>6272640</v>
      </c>
      <c r="X41" s="74">
        <f t="shared" si="13"/>
        <v>627264</v>
      </c>
      <c r="Y41" s="75">
        <f>(X41/$X$43)*Q41</f>
        <v>2.0072448E-2</v>
      </c>
    </row>
    <row r="42" spans="1:29" ht="14.45" customHeight="1">
      <c r="A42" s="37" t="s">
        <v>33</v>
      </c>
      <c r="B42" s="37" t="s">
        <v>33</v>
      </c>
      <c r="C42" s="37" t="s">
        <v>29</v>
      </c>
      <c r="D42" s="37" t="s">
        <v>33</v>
      </c>
      <c r="E42" s="81" t="s">
        <v>27</v>
      </c>
      <c r="F42" s="34"/>
      <c r="G42" s="73" t="s">
        <v>97</v>
      </c>
      <c r="H42" s="73" t="s">
        <v>40</v>
      </c>
      <c r="I42" s="73" t="s">
        <v>40</v>
      </c>
      <c r="J42" s="73" t="s">
        <v>40</v>
      </c>
      <c r="K42" s="73" t="s">
        <v>97</v>
      </c>
      <c r="L42" s="34"/>
      <c r="O42" s="45" t="s">
        <v>40</v>
      </c>
      <c r="P42" s="73">
        <v>3</v>
      </c>
      <c r="Q42" s="20">
        <f>'Game Description'!$C$23</f>
        <v>10</v>
      </c>
      <c r="R42" s="74">
        <f>IF(G51=$O42,3*INDEX($H$11:$L$19,MATCH($O42,$G$11:$G$18,0),MATCH(R$5,$H$10:$L$10,0)),H$20-3*INDEX($H$11:$L$19,MATCH($O42,$G$11:$G$18,0),MATCH(R$5,$H$10:$L$10,0)))</f>
        <v>6</v>
      </c>
      <c r="S42" s="74">
        <f>IF(H51=$O42,3*INDEX($H$11:$L$19,MATCH($O42,$G$11:$G$18,0),MATCH(S$5,$H$10:$L$10,0)),I$20-3*INDEX($H$11:$L$19,MATCH($O42,$G$11:$G$18,0),MATCH(S$5,$H$10:$L$10,0)))</f>
        <v>6</v>
      </c>
      <c r="T42" s="74">
        <f>IF(I51=$O42,3*INDEX($H$11:$L$19,MATCH($O42,$G$11:$G$18,0),MATCH(T$5,$H$10:$L$10,0)),J$20-3*INDEX($H$11:$L$19,MATCH($O42,$G$11:$G$18,0),MATCH(T$5,$H$10:$L$10,0)))</f>
        <v>6</v>
      </c>
      <c r="U42" s="74">
        <f>IF(J51=$O42,3*INDEX($H$11:$L$19,MATCH($O42,$G$11:$G$18,0),MATCH(U$5,$H$10:$L$10,0)),K$20-3*INDEX($H$11:$L$19,MATCH($O42,$G$11:$G$18,0),MATCH(U$5,$H$10:$L$10,0)))</f>
        <v>44</v>
      </c>
      <c r="V42" s="74">
        <f>IF(K51=$O42,3*INDEX($H$11:$L$19,MATCH($O42,$G$11:$G$18,0),MATCH(V$5,$H$10:$L$10,0)),L$20-3*INDEX($H$11:$L$19,MATCH($O42,$G$11:$G$18,0),MATCH(V$5,$H$10:$L$10,0)))</f>
        <v>41</v>
      </c>
      <c r="W42" s="74">
        <f t="shared" si="1"/>
        <v>3896640</v>
      </c>
      <c r="X42" s="74">
        <f t="shared" si="13"/>
        <v>389664</v>
      </c>
      <c r="Y42" s="75">
        <f>(X42/$X$43)*Q42</f>
        <v>1.2469248E-2</v>
      </c>
    </row>
    <row r="43" spans="1:29" ht="14.45" customHeight="1">
      <c r="A43" s="37" t="s">
        <v>33</v>
      </c>
      <c r="B43" s="37" t="s">
        <v>29</v>
      </c>
      <c r="C43" s="37" t="s">
        <v>29</v>
      </c>
      <c r="D43" s="37" t="s">
        <v>33</v>
      </c>
      <c r="E43" s="37" t="s">
        <v>23</v>
      </c>
      <c r="F43" s="34"/>
      <c r="G43" s="73" t="s">
        <v>40</v>
      </c>
      <c r="H43" s="73" t="s">
        <v>97</v>
      </c>
      <c r="I43" s="73" t="s">
        <v>40</v>
      </c>
      <c r="J43" s="73" t="s">
        <v>40</v>
      </c>
      <c r="K43" s="73" t="s">
        <v>97</v>
      </c>
      <c r="L43" s="34"/>
      <c r="W43">
        <f>SUM(W6:W42)</f>
        <v>586916420</v>
      </c>
      <c r="X43" s="77">
        <f>PRODUCT(H20:L20)</f>
        <v>312500000</v>
      </c>
      <c r="Y43" s="83">
        <f>SUM(Y6:Y42)</f>
        <v>1.8781325440000001</v>
      </c>
      <c r="Z43" s="78">
        <f>SUM(Y27:Y42)</f>
        <v>0.25221887999999998</v>
      </c>
      <c r="AA43" s="83"/>
    </row>
    <row r="44" spans="1:29" ht="14.45" customHeight="1">
      <c r="A44" s="37" t="s">
        <v>31</v>
      </c>
      <c r="B44" s="37" t="s">
        <v>29</v>
      </c>
      <c r="C44" s="37" t="s">
        <v>37</v>
      </c>
      <c r="D44" s="37" t="s">
        <v>33</v>
      </c>
      <c r="E44" s="37" t="s">
        <v>23</v>
      </c>
      <c r="F44" s="34"/>
      <c r="G44" s="73" t="s">
        <v>97</v>
      </c>
      <c r="H44" s="73" t="s">
        <v>40</v>
      </c>
      <c r="I44" s="73" t="s">
        <v>97</v>
      </c>
      <c r="J44" s="73" t="s">
        <v>40</v>
      </c>
      <c r="K44" s="73" t="s">
        <v>40</v>
      </c>
      <c r="L44" s="34"/>
      <c r="M44" s="34"/>
      <c r="N44" s="34"/>
    </row>
    <row r="45" spans="1:29" ht="14.45" customHeight="1">
      <c r="A45" s="37" t="s">
        <v>31</v>
      </c>
      <c r="B45" s="37" t="s">
        <v>29</v>
      </c>
      <c r="C45" s="37" t="s">
        <v>37</v>
      </c>
      <c r="D45" s="37" t="s">
        <v>27</v>
      </c>
      <c r="E45" s="37" t="s">
        <v>23</v>
      </c>
      <c r="F45" s="34"/>
      <c r="G45" s="73" t="s">
        <v>40</v>
      </c>
      <c r="H45" s="73" t="s">
        <v>97</v>
      </c>
      <c r="I45" s="73" t="s">
        <v>40</v>
      </c>
      <c r="J45" s="73" t="s">
        <v>97</v>
      </c>
      <c r="K45" s="73" t="s">
        <v>40</v>
      </c>
      <c r="L45" s="34"/>
      <c r="M45" s="34"/>
      <c r="N45" s="34"/>
      <c r="Q45" s="90" t="s">
        <v>104</v>
      </c>
      <c r="R45" s="90"/>
      <c r="S45">
        <f>SUM(W43,AJ30)</f>
        <v>667086980</v>
      </c>
      <c r="V45" s="90" t="s">
        <v>99</v>
      </c>
      <c r="W45" s="90"/>
      <c r="X45">
        <f>X43/SUM(X27:X42)</f>
        <v>54.545289521160427</v>
      </c>
    </row>
    <row r="46" spans="1:29" ht="14.45" customHeight="1">
      <c r="A46" s="37" t="s">
        <v>27</v>
      </c>
      <c r="B46" s="37" t="s">
        <v>29</v>
      </c>
      <c r="C46" s="37" t="s">
        <v>29</v>
      </c>
      <c r="D46" s="37" t="s">
        <v>27</v>
      </c>
      <c r="E46" s="37" t="s">
        <v>33</v>
      </c>
      <c r="F46" s="34"/>
      <c r="G46" s="73" t="s">
        <v>40</v>
      </c>
      <c r="H46" s="73" t="s">
        <v>40</v>
      </c>
      <c r="I46" s="73" t="s">
        <v>97</v>
      </c>
      <c r="J46" s="73" t="s">
        <v>40</v>
      </c>
      <c r="K46" s="73" t="s">
        <v>97</v>
      </c>
      <c r="L46" s="34"/>
      <c r="M46" s="34"/>
      <c r="N46" s="34"/>
      <c r="Q46" s="90" t="s">
        <v>105</v>
      </c>
      <c r="R46" s="90"/>
      <c r="S46">
        <f>X43</f>
        <v>312500000</v>
      </c>
      <c r="V46" s="90" t="s">
        <v>106</v>
      </c>
      <c r="W46" s="90"/>
      <c r="X46">
        <f>10/(1-(1/X45)*U3)</f>
        <v>12.2449062757241</v>
      </c>
    </row>
    <row r="47" spans="1:29" ht="14.45" customHeight="1">
      <c r="A47" s="37" t="s">
        <v>25</v>
      </c>
      <c r="B47" s="37" t="s">
        <v>25</v>
      </c>
      <c r="C47" s="81" t="s">
        <v>29</v>
      </c>
      <c r="D47" s="37" t="s">
        <v>27</v>
      </c>
      <c r="E47" s="37" t="s">
        <v>25</v>
      </c>
      <c r="F47" s="34"/>
      <c r="G47" s="73" t="s">
        <v>97</v>
      </c>
      <c r="H47" s="73" t="s">
        <v>40</v>
      </c>
      <c r="I47" s="73" t="s">
        <v>40</v>
      </c>
      <c r="J47" s="73" t="s">
        <v>97</v>
      </c>
      <c r="K47" s="73" t="s">
        <v>40</v>
      </c>
      <c r="L47" s="34"/>
      <c r="M47" s="34"/>
      <c r="N47" s="34"/>
      <c r="Q47" s="91" t="s">
        <v>107</v>
      </c>
      <c r="R47" s="91"/>
      <c r="S47">
        <f>SUM(BaseGameReel!X27:X42)</f>
        <v>4474656</v>
      </c>
      <c r="X47" s="79">
        <f>SUM(Y43+AL30)</f>
        <v>2.1346783359999999</v>
      </c>
    </row>
    <row r="48" spans="1:29" ht="14.45" customHeight="1">
      <c r="A48" s="37" t="s">
        <v>25</v>
      </c>
      <c r="B48" s="37" t="s">
        <v>25</v>
      </c>
      <c r="C48" s="37" t="s">
        <v>35</v>
      </c>
      <c r="D48" s="37" t="s">
        <v>35</v>
      </c>
      <c r="E48" s="37" t="s">
        <v>25</v>
      </c>
      <c r="F48" s="34"/>
      <c r="G48" s="73" t="s">
        <v>40</v>
      </c>
      <c r="H48" s="73" t="s">
        <v>40</v>
      </c>
      <c r="I48" s="73" t="s">
        <v>97</v>
      </c>
      <c r="J48" s="73" t="s">
        <v>97</v>
      </c>
      <c r="K48" s="73" t="s">
        <v>40</v>
      </c>
      <c r="L48" s="34"/>
      <c r="M48" s="34"/>
      <c r="N48" s="34"/>
      <c r="V48" t="s">
        <v>108</v>
      </c>
      <c r="W48" s="79">
        <f>(Y43+AL30)*(1/BaseGameReel!X45)*X46</f>
        <v>0.37428079197202846</v>
      </c>
      <c r="AC48" t="s">
        <v>109</v>
      </c>
    </row>
    <row r="49" spans="1:19" ht="14.45" customHeight="1">
      <c r="A49" s="37" t="s">
        <v>35</v>
      </c>
      <c r="B49" s="37" t="s">
        <v>25</v>
      </c>
      <c r="C49" s="37" t="s">
        <v>35</v>
      </c>
      <c r="D49" s="37" t="s">
        <v>35</v>
      </c>
      <c r="E49" s="37" t="s">
        <v>37</v>
      </c>
      <c r="F49" s="34"/>
      <c r="G49" s="73" t="s">
        <v>40</v>
      </c>
      <c r="H49" s="73" t="s">
        <v>97</v>
      </c>
      <c r="I49" s="73" t="s">
        <v>97</v>
      </c>
      <c r="J49" s="73" t="s">
        <v>40</v>
      </c>
      <c r="K49" s="73" t="s">
        <v>40</v>
      </c>
      <c r="L49" s="34"/>
      <c r="M49" s="34"/>
      <c r="N49" s="34"/>
      <c r="Q49" s="90" t="s">
        <v>110</v>
      </c>
      <c r="R49" s="90"/>
      <c r="S49">
        <f>S45/S47*(1/BaseGameReel!X45)*FreeGameReel!X46</f>
        <v>26.138936153138676</v>
      </c>
    </row>
    <row r="50" spans="1:19" ht="14.45" customHeight="1">
      <c r="A50" s="37" t="s">
        <v>33</v>
      </c>
      <c r="B50" s="37" t="s">
        <v>31</v>
      </c>
      <c r="C50" s="43" t="s">
        <v>31</v>
      </c>
      <c r="D50" s="37" t="s">
        <v>33</v>
      </c>
      <c r="E50" s="37" t="s">
        <v>29</v>
      </c>
      <c r="F50" s="34"/>
      <c r="G50" s="73" t="s">
        <v>97</v>
      </c>
      <c r="H50" s="73" t="s">
        <v>97</v>
      </c>
      <c r="I50" s="73" t="s">
        <v>40</v>
      </c>
      <c r="J50" s="73" t="s">
        <v>40</v>
      </c>
      <c r="K50" s="73" t="s">
        <v>40</v>
      </c>
      <c r="L50" s="34"/>
      <c r="M50" s="34"/>
      <c r="N50" s="34"/>
    </row>
    <row r="51" spans="1:19" ht="14.45" customHeight="1">
      <c r="A51" s="37" t="s">
        <v>35</v>
      </c>
      <c r="B51" s="43" t="s">
        <v>37</v>
      </c>
      <c r="C51" s="37" t="s">
        <v>31</v>
      </c>
      <c r="D51" s="37" t="s">
        <v>33</v>
      </c>
      <c r="E51" s="37" t="s">
        <v>33</v>
      </c>
      <c r="F51" s="34"/>
      <c r="G51" s="73" t="s">
        <v>40</v>
      </c>
      <c r="H51" s="73" t="s">
        <v>40</v>
      </c>
      <c r="I51" s="73" t="s">
        <v>40</v>
      </c>
      <c r="J51" s="73" t="s">
        <v>97</v>
      </c>
      <c r="K51" s="73" t="s">
        <v>97</v>
      </c>
      <c r="L51" s="34"/>
      <c r="M51" s="34"/>
      <c r="N51" s="34"/>
      <c r="R51" t="s">
        <v>93</v>
      </c>
      <c r="S51" s="79">
        <f>S45/S46</f>
        <v>2.1346783359999999</v>
      </c>
    </row>
    <row r="52" spans="1:19" ht="14.45" customHeight="1">
      <c r="A52" s="37" t="s">
        <v>35</v>
      </c>
      <c r="B52" s="37" t="s">
        <v>35</v>
      </c>
      <c r="C52" s="37" t="s">
        <v>27</v>
      </c>
      <c r="D52" s="37" t="s">
        <v>31</v>
      </c>
      <c r="E52" s="37" t="s">
        <v>27</v>
      </c>
      <c r="F52" s="34"/>
      <c r="G52" s="34"/>
      <c r="H52" s="34"/>
      <c r="I52" s="34"/>
      <c r="J52" s="34"/>
      <c r="K52" s="34"/>
      <c r="L52" s="34"/>
      <c r="M52" s="34"/>
      <c r="N52" s="34"/>
    </row>
    <row r="53" spans="1:19" ht="14.45" customHeight="1">
      <c r="F53" s="34"/>
      <c r="G53" s="34"/>
      <c r="H53" s="34"/>
      <c r="I53" s="34"/>
      <c r="L53" s="34"/>
      <c r="M53" s="34"/>
      <c r="N53" s="34"/>
    </row>
    <row r="54" spans="1:19" ht="14.45" customHeight="1">
      <c r="F54" s="34"/>
      <c r="L54" s="34"/>
      <c r="M54" s="34"/>
      <c r="N54" s="34"/>
    </row>
    <row r="55" spans="1:19" ht="14.45" customHeight="1">
      <c r="F55" s="34"/>
      <c r="L55" s="34"/>
      <c r="M55" s="34"/>
      <c r="N55" s="34"/>
    </row>
    <row r="56" spans="1:19" ht="14.45" customHeight="1">
      <c r="F56" s="34"/>
      <c r="L56" s="34"/>
      <c r="M56" s="34"/>
      <c r="N56" s="34"/>
    </row>
    <row r="57" spans="1:19" ht="14.45" customHeight="1">
      <c r="F57" s="34"/>
      <c r="L57" s="34"/>
      <c r="M57" s="34"/>
      <c r="N57" s="34"/>
    </row>
    <row r="58" spans="1:19" ht="14.45" customHeight="1">
      <c r="F58" s="34"/>
      <c r="L58" s="34"/>
      <c r="M58" s="34"/>
      <c r="N58" s="34"/>
    </row>
    <row r="59" spans="1:19" ht="14.45" customHeight="1">
      <c r="F59" s="34"/>
      <c r="L59" s="34"/>
      <c r="M59" s="34"/>
      <c r="N59" s="34"/>
    </row>
    <row r="60" spans="1:19" ht="14.45" customHeight="1">
      <c r="F60" s="34"/>
      <c r="L60" s="34"/>
      <c r="M60" s="34"/>
      <c r="N60" s="34"/>
    </row>
    <row r="61" spans="1:19" ht="14.45" customHeight="1">
      <c r="F61" s="34"/>
      <c r="L61" s="34"/>
      <c r="M61" s="34"/>
      <c r="N61" s="34"/>
    </row>
    <row r="62" spans="1:19" ht="14.45" customHeight="1">
      <c r="F62" s="34"/>
      <c r="L62" s="34"/>
      <c r="M62" s="34"/>
      <c r="N62" s="34"/>
    </row>
    <row r="63" spans="1:19" ht="14.45" customHeight="1">
      <c r="F63" s="34"/>
      <c r="M63" s="34"/>
      <c r="N63" s="34"/>
    </row>
    <row r="64" spans="1:19" ht="14.45" customHeight="1">
      <c r="F64" s="34"/>
      <c r="M64" s="34"/>
      <c r="N64" s="34"/>
    </row>
    <row r="65" spans="6:14" ht="14.45" customHeight="1">
      <c r="F65" s="34"/>
      <c r="M65" s="34"/>
      <c r="N65" s="34"/>
    </row>
    <row r="66" spans="6:14" ht="14.45" customHeight="1">
      <c r="F66" s="34"/>
      <c r="M66" s="34"/>
      <c r="N66" s="34"/>
    </row>
    <row r="67" spans="6:14" ht="14.45" customHeight="1">
      <c r="F67" s="34"/>
      <c r="M67" s="34"/>
      <c r="N67" s="34"/>
    </row>
    <row r="68" spans="6:14" ht="14.45" customHeight="1">
      <c r="F68" s="34"/>
      <c r="M68" s="34"/>
      <c r="N68" s="34"/>
    </row>
    <row r="69" spans="6:14" ht="14.45" customHeight="1">
      <c r="F69" s="34"/>
      <c r="M69" s="34"/>
      <c r="N69" s="34"/>
    </row>
    <row r="70" spans="6:14" ht="14.45" customHeight="1">
      <c r="F70" s="34"/>
      <c r="M70" s="34"/>
      <c r="N70" s="34"/>
    </row>
    <row r="71" spans="6:14" ht="14.45" customHeight="1">
      <c r="F71" s="34"/>
      <c r="M71" s="34"/>
      <c r="N71" s="34"/>
    </row>
    <row r="72" spans="6:14" ht="14.45" customHeight="1">
      <c r="F72" s="34"/>
      <c r="M72" s="34"/>
      <c r="N72" s="34"/>
    </row>
    <row r="73" spans="6:14" ht="14.45" customHeight="1">
      <c r="F73" s="34"/>
      <c r="M73" s="34"/>
      <c r="N73" s="34"/>
    </row>
    <row r="74" spans="6:14" ht="14.45" customHeight="1">
      <c r="F74" s="34"/>
    </row>
    <row r="75" spans="6:14" ht="14.45" customHeight="1"/>
    <row r="76" spans="6:14" ht="14.45" customHeight="1"/>
    <row r="77" spans="6:14"/>
    <row r="78" spans="6:14"/>
    <row r="79" spans="6:14"/>
    <row r="80" spans="6:14"/>
    <row r="81"/>
    <row r="82"/>
  </sheetData>
  <mergeCells count="7">
    <mergeCell ref="G35:K35"/>
    <mergeCell ref="V45:W45"/>
    <mergeCell ref="V46:W46"/>
    <mergeCell ref="Q49:R49"/>
    <mergeCell ref="Q47:R47"/>
    <mergeCell ref="Q46:R46"/>
    <mergeCell ref="Q45:R45"/>
  </mergeCells>
  <conditionalFormatting sqref="A1:N1 G9:L75 M13:N75 O44:Y44 X45:Y46 O48:Y48 G2:I8 A2:F75 A76:Y1048576 AM77:XFD1048576 Z44:AL1048576 O50:Y75 S49:Y49 O49:Q49 S47:Y47 S45:V46 O45:Q47">
    <cfRule type="containsText" dxfId="19" priority="7" operator="containsText" text="SC">
      <formula>NOT(ISERROR(SEARCH("SC",A1)))</formula>
    </cfRule>
    <cfRule type="containsText" dxfId="18" priority="8" operator="containsText" text="WD">
      <formula>NOT(ISERROR(SEARCH("WD",A1)))</formula>
    </cfRule>
  </conditionalFormatting>
  <conditionalFormatting sqref="AM1:XFD76">
    <cfRule type="containsText" dxfId="17" priority="9" operator="containsText" text="SC">
      <formula>NOT(ISERROR(SEARCH("SC",AM1)))</formula>
    </cfRule>
    <cfRule type="containsText" dxfId="16" priority="11" operator="containsText" text="WD">
      <formula>NOT(ISERROR(SEARCH("WD",AM1)))</formula>
    </cfRule>
  </conditionalFormatting>
  <conditionalFormatting sqref="Z30:AL43 Z7:AI29 AK7:AL29">
    <cfRule type="containsText" dxfId="15" priority="3" operator="containsText" text="SC">
      <formula>NOT(ISERROR(SEARCH("SC",Z7)))</formula>
    </cfRule>
    <cfRule type="containsText" dxfId="14" priority="4" operator="containsText" text="WD">
      <formula>NOT(ISERROR(SEARCH("WD",Z7)))</formula>
    </cfRule>
  </conditionalFormatting>
  <conditionalFormatting sqref="O1:AL1 P2:AL4 P5:Z5 AC5:AL5 P6:AL6 U7:V7 R9:V9 P9:P12 Q9:Q26 U10:V10 R10:T11 R12:V12 U13:V13 R13:T14 O13:P26 R15:V15 U16:V16 R16:T17 R18:V18 U19:V19 R19:T20 R21:V21 U22:V22 R22:T23 R24:V24 U25:V25 R25:T26 O27:V42 O43:Y43 P7:T8 W7:Y42 AJ7:AJ29">
    <cfRule type="containsText" dxfId="13" priority="1" operator="containsText" text="SC">
      <formula>NOT(ISERROR(SEARCH("SC",O1)))</formula>
    </cfRule>
    <cfRule type="containsText" dxfId="12" priority="2" operator="containsText" text="WD">
      <formula>NOT(ISERROR(SEARCH("WD",O1)))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B711-9AE1-4145-A7EC-582DA365EFE3}">
  <dimension ref="A1:AS82"/>
  <sheetViews>
    <sheetView topLeftCell="A31" zoomScale="90" zoomScaleNormal="90" workbookViewId="0">
      <selection activeCell="AL48" sqref="AL48"/>
    </sheetView>
  </sheetViews>
  <sheetFormatPr defaultColWidth="8.7109375" defaultRowHeight="15" customHeight="1"/>
  <cols>
    <col min="7" max="9" width="8.7109375" style="1"/>
    <col min="11" max="13" width="8.7109375" style="2"/>
    <col min="29" max="30" width="12.5703125" bestFit="1" customWidth="1"/>
    <col min="31" max="32" width="10.42578125" bestFit="1" customWidth="1"/>
    <col min="33" max="35" width="9.140625"/>
    <col min="36" max="36" width="13.7109375" customWidth="1"/>
    <col min="37" max="37" width="21.140625" customWidth="1"/>
    <col min="38" max="41" width="9.140625"/>
    <col min="42" max="42" width="12.5703125" bestFit="1" customWidth="1"/>
    <col min="43" max="43" width="9.140625"/>
    <col min="44" max="44" width="10.42578125" bestFit="1" customWidth="1"/>
    <col min="45" max="45" width="9.7109375" bestFit="1" customWidth="1"/>
  </cols>
  <sheetData>
    <row r="1" spans="1:45" ht="14.45" customHeight="1">
      <c r="A1" s="34"/>
      <c r="B1" s="35" t="s">
        <v>111</v>
      </c>
      <c r="C1" s="35"/>
      <c r="D1" s="34"/>
      <c r="E1" s="34"/>
      <c r="G1" s="34"/>
      <c r="H1" s="35" t="s">
        <v>112</v>
      </c>
      <c r="I1" s="35"/>
      <c r="J1" s="34"/>
      <c r="K1" s="34"/>
      <c r="L1" s="34"/>
      <c r="M1" s="34"/>
      <c r="N1" s="34"/>
      <c r="O1" s="34"/>
      <c r="P1" s="34"/>
      <c r="Q1" s="34"/>
      <c r="R1" s="34"/>
      <c r="S1" s="34"/>
      <c r="T1" s="35"/>
    </row>
    <row r="2" spans="1:45" ht="14.45" customHeight="1">
      <c r="A2" s="36" t="s">
        <v>42</v>
      </c>
      <c r="B2" s="36" t="s">
        <v>43</v>
      </c>
      <c r="C2" s="36" t="s">
        <v>44</v>
      </c>
      <c r="D2" s="36" t="s">
        <v>45</v>
      </c>
      <c r="E2" s="36" t="s">
        <v>46</v>
      </c>
      <c r="G2" s="36" t="s">
        <v>42</v>
      </c>
      <c r="H2" s="36" t="s">
        <v>43</v>
      </c>
      <c r="I2" s="36" t="s">
        <v>44</v>
      </c>
      <c r="J2" s="36" t="s">
        <v>45</v>
      </c>
      <c r="K2" s="36" t="s">
        <v>46</v>
      </c>
      <c r="L2" s="34"/>
      <c r="M2" s="34"/>
      <c r="N2" s="34"/>
      <c r="O2" s="34"/>
    </row>
    <row r="3" spans="1:45" ht="14.45" customHeight="1">
      <c r="A3" s="37" t="s">
        <v>27</v>
      </c>
      <c r="B3" s="37" t="s">
        <v>29</v>
      </c>
      <c r="C3" s="37" t="s">
        <v>27</v>
      </c>
      <c r="D3" s="37" t="s">
        <v>29</v>
      </c>
      <c r="E3" s="37" t="s">
        <v>31</v>
      </c>
      <c r="G3" s="37" t="s">
        <v>35</v>
      </c>
      <c r="H3" s="37" t="s">
        <v>31</v>
      </c>
      <c r="I3" s="37" t="s">
        <v>33</v>
      </c>
      <c r="J3" s="37" t="s">
        <v>29</v>
      </c>
      <c r="K3" s="37" t="s">
        <v>31</v>
      </c>
      <c r="L3" s="34"/>
      <c r="M3" s="34"/>
      <c r="N3" s="34"/>
      <c r="O3" s="34"/>
      <c r="W3" t="s">
        <v>53</v>
      </c>
      <c r="X3">
        <v>20</v>
      </c>
      <c r="Z3" t="s">
        <v>103</v>
      </c>
      <c r="AA3">
        <v>10</v>
      </c>
    </row>
    <row r="4" spans="1:45" ht="14.45" customHeight="1">
      <c r="A4" s="37" t="s">
        <v>23</v>
      </c>
      <c r="B4" s="37" t="s">
        <v>25</v>
      </c>
      <c r="C4" s="37" t="s">
        <v>23</v>
      </c>
      <c r="D4" s="37" t="s">
        <v>35</v>
      </c>
      <c r="E4" s="37" t="s">
        <v>31</v>
      </c>
      <c r="G4" s="37" t="s">
        <v>35</v>
      </c>
      <c r="H4" s="37" t="s">
        <v>31</v>
      </c>
      <c r="I4" s="37" t="s">
        <v>33</v>
      </c>
      <c r="J4" s="37" t="s">
        <v>35</v>
      </c>
      <c r="K4" s="37" t="s">
        <v>31</v>
      </c>
      <c r="L4" s="34"/>
      <c r="M4" s="34"/>
      <c r="N4" s="34"/>
      <c r="O4" s="34"/>
    </row>
    <row r="5" spans="1:45" ht="14.45" customHeight="1">
      <c r="A5" s="37" t="s">
        <v>40</v>
      </c>
      <c r="B5" s="37" t="s">
        <v>40</v>
      </c>
      <c r="C5" s="37" t="s">
        <v>40</v>
      </c>
      <c r="D5" s="37" t="s">
        <v>31</v>
      </c>
      <c r="E5" s="37" t="s">
        <v>31</v>
      </c>
      <c r="G5" s="37" t="s">
        <v>35</v>
      </c>
      <c r="H5" s="37" t="s">
        <v>31</v>
      </c>
      <c r="I5" s="37" t="s">
        <v>33</v>
      </c>
      <c r="J5" s="37" t="s">
        <v>31</v>
      </c>
      <c r="K5" s="37" t="s">
        <v>31</v>
      </c>
      <c r="L5" s="34"/>
      <c r="M5" s="34"/>
      <c r="N5" s="34"/>
      <c r="O5" s="34"/>
      <c r="U5" s="72" t="s">
        <v>89</v>
      </c>
      <c r="V5" s="72" t="s">
        <v>90</v>
      </c>
      <c r="W5" s="72" t="s">
        <v>91</v>
      </c>
      <c r="X5" s="72" t="s">
        <v>42</v>
      </c>
      <c r="Y5" s="72" t="s">
        <v>43</v>
      </c>
      <c r="Z5" s="72" t="s">
        <v>44</v>
      </c>
      <c r="AA5" s="72" t="s">
        <v>45</v>
      </c>
      <c r="AB5" s="72" t="s">
        <v>46</v>
      </c>
      <c r="AC5" s="72" t="s">
        <v>113</v>
      </c>
      <c r="AD5" s="72" t="s">
        <v>92</v>
      </c>
      <c r="AE5" s="72" t="s">
        <v>93</v>
      </c>
      <c r="AG5" s="72" t="s">
        <v>89</v>
      </c>
      <c r="AH5" s="72" t="s">
        <v>94</v>
      </c>
      <c r="AI5" s="72" t="s">
        <v>90</v>
      </c>
      <c r="AJ5" s="72" t="s">
        <v>91</v>
      </c>
      <c r="AK5" s="72" t="s">
        <v>42</v>
      </c>
      <c r="AL5" s="72" t="s">
        <v>43</v>
      </c>
      <c r="AM5" s="72" t="s">
        <v>44</v>
      </c>
      <c r="AN5" s="72" t="s">
        <v>45</v>
      </c>
      <c r="AO5" s="72" t="s">
        <v>46</v>
      </c>
      <c r="AP5" s="72"/>
      <c r="AQ5" s="72" t="s">
        <v>92</v>
      </c>
      <c r="AR5" s="72" t="s">
        <v>93</v>
      </c>
    </row>
    <row r="6" spans="1:45" ht="14.45" customHeight="1">
      <c r="A6" s="37" t="s">
        <v>27</v>
      </c>
      <c r="B6" s="37" t="s">
        <v>29</v>
      </c>
      <c r="C6" s="37" t="s">
        <v>27</v>
      </c>
      <c r="D6" s="37" t="s">
        <v>31</v>
      </c>
      <c r="E6" s="37" t="s">
        <v>25</v>
      </c>
      <c r="G6" s="37" t="s">
        <v>31</v>
      </c>
      <c r="H6" s="37" t="s">
        <v>23</v>
      </c>
      <c r="I6" s="37" t="s">
        <v>33</v>
      </c>
      <c r="J6" s="37" t="s">
        <v>31</v>
      </c>
      <c r="K6" s="37" t="s">
        <v>25</v>
      </c>
      <c r="L6" s="34"/>
      <c r="M6" s="34"/>
      <c r="N6" s="34"/>
      <c r="O6" s="34"/>
      <c r="U6" s="73" t="s">
        <v>23</v>
      </c>
      <c r="V6" s="73">
        <v>5</v>
      </c>
      <c r="W6" s="20">
        <f>'Game Description'!E15</f>
        <v>200</v>
      </c>
      <c r="X6" s="74">
        <f>INDEX($N$11:$R$19,MATCH($U6,$M$11:$M$18,0),MATCH(X$5,$N$10:$R$10,0))+N$19</f>
        <v>8</v>
      </c>
      <c r="Y6" s="74">
        <f>INDEX($N$11:$R$19,MATCH($U6,$M$11:$M$18,0),MATCH(Y$5,$N$10:$R$10,0))+O$19</f>
        <v>12</v>
      </c>
      <c r="Z6" s="74">
        <f>INDEX($N$11:$R$19,MATCH($U6,$M$11:$M$18,0),MATCH(Z$5,$N$10:$R$10,0))+P$19</f>
        <v>11</v>
      </c>
      <c r="AA6" s="74">
        <f>INDEX($N$11:$R$19,MATCH($U6,$M$11:$M$18,0),MATCH(AA$5,$N$10:$R$10,0))+Q$19</f>
        <v>11</v>
      </c>
      <c r="AB6" s="74">
        <f>INDEX($N$11:$R$19,MATCH($U6,$M$11:$M$18,0),MATCH(AB$5,$N$10:$R$10,0))+R$19</f>
        <v>10</v>
      </c>
      <c r="AC6" s="74">
        <f>AD6*W6</f>
        <v>18175200</v>
      </c>
      <c r="AD6" s="74">
        <f>PRODUCT(X6:AB6)-AQ6-AQ8-AQ27</f>
        <v>90876</v>
      </c>
      <c r="AE6" s="75">
        <f>(AD6/$AD$43)*W6</f>
        <v>5.8160639999999993E-2</v>
      </c>
      <c r="AG6" s="73" t="s">
        <v>37</v>
      </c>
      <c r="AH6" s="73" t="s">
        <v>23</v>
      </c>
      <c r="AI6" s="73">
        <v>4</v>
      </c>
      <c r="AJ6" s="20">
        <f>'Game Description'!$D$22</f>
        <v>400</v>
      </c>
      <c r="AK6" s="74">
        <f>INDEX($N$11:$R$19,MATCH($AG6,$M$11:$M$19,0),MATCH(X$5,$N$10:$R$10,0))</f>
        <v>6</v>
      </c>
      <c r="AL6" s="74">
        <f>INDEX($N$11:$R$19,MATCH($AG6,$M$11:$M$19,0),MATCH(Y$5,$N$10:$R$10,0))</f>
        <v>7</v>
      </c>
      <c r="AM6" s="74">
        <f>INDEX($N$11:$R$19,MATCH($AG6,$M$11:$M$19,0),MATCH(Z$5,$N$10:$R$10,0))</f>
        <v>7</v>
      </c>
      <c r="AN6" s="74">
        <f>INDEX($N$11:$R$19,MATCH($AG6,$M$11:$M$19,0),MATCH(AA$5,$N$10:$R$10,0))</f>
        <v>7</v>
      </c>
      <c r="AO6" s="74">
        <f>INDEX($N$11:$R$19,MATCH("AA",$M$11:$M$19,0),MATCH(AO$5,$N$10:$R$10,0))</f>
        <v>4</v>
      </c>
      <c r="AP6" s="74">
        <f>AR6*$AD$43</f>
        <v>3292800</v>
      </c>
      <c r="AQ6" s="74">
        <f t="shared" ref="AQ6:AQ26" si="0">PRODUCT(AK6:AO6)</f>
        <v>8232</v>
      </c>
      <c r="AR6" s="75">
        <f>IF(AJ6&gt;W6,AJ6,W6)*(AQ6/$AD$43)</f>
        <v>1.053696E-2</v>
      </c>
    </row>
    <row r="7" spans="1:45" ht="14.45" customHeight="1">
      <c r="A7" s="37" t="s">
        <v>23</v>
      </c>
      <c r="B7" s="37" t="s">
        <v>25</v>
      </c>
      <c r="C7" s="37" t="s">
        <v>23</v>
      </c>
      <c r="D7" s="37" t="s">
        <v>40</v>
      </c>
      <c r="E7" s="37" t="s">
        <v>31</v>
      </c>
      <c r="G7" s="37" t="s">
        <v>25</v>
      </c>
      <c r="H7" s="37" t="s">
        <v>35</v>
      </c>
      <c r="I7" s="37" t="s">
        <v>35</v>
      </c>
      <c r="J7" s="37" t="s">
        <v>40</v>
      </c>
      <c r="K7" s="37" t="s">
        <v>31</v>
      </c>
      <c r="L7" s="34"/>
      <c r="M7" s="34"/>
      <c r="N7" s="34"/>
      <c r="O7" s="34"/>
      <c r="U7" s="73" t="s">
        <v>23</v>
      </c>
      <c r="V7" s="73">
        <v>4</v>
      </c>
      <c r="W7" s="20">
        <f>'Game Description'!D15</f>
        <v>100</v>
      </c>
      <c r="X7" s="74">
        <f>INDEX($N$11:$R$19,MATCH($U7,$M$11:$M$18,0),MATCH(X$5,$N$10:$R$10,0))+N$19</f>
        <v>8</v>
      </c>
      <c r="Y7" s="74">
        <f>INDEX($N$11:$R$19,MATCH($U7,$M$11:$M$18,0),MATCH(Y$5,$N$10:$R$10,0))+O$19</f>
        <v>12</v>
      </c>
      <c r="Z7" s="74">
        <f>INDEX($N$11:$R$19,MATCH($U7,$M$11:$M$18,0),MATCH(Z$5,$N$10:$R$10,0))+P$19</f>
        <v>11</v>
      </c>
      <c r="AA7" s="74">
        <f>INDEX($N$11:$R$19,MATCH($U7,$M$11:$M$18,0),MATCH(AA$5,$N$10:$R$10,0))+Q$19</f>
        <v>11</v>
      </c>
      <c r="AB7" s="74">
        <f>R$20-(R$19+INDEX($N$11:$R$19,MATCH($U7,$M$11:$M$17,0),MATCH(AB$5,$N$10:$R$10,0)))</f>
        <v>40</v>
      </c>
      <c r="AC7" s="74">
        <f t="shared" ref="AC7:AC42" si="1">AD7*W7</f>
        <v>33528000</v>
      </c>
      <c r="AD7" s="74">
        <f>PRODUCT(X7:AB7)-PRODUCT($N$19:$Q$19)*$AB7-$AQ7</f>
        <v>335280</v>
      </c>
      <c r="AE7" s="75">
        <f>(AD7/$AD$43)*W7</f>
        <v>0.1072896</v>
      </c>
      <c r="AG7" s="73" t="s">
        <v>37</v>
      </c>
      <c r="AH7" s="73" t="s">
        <v>23</v>
      </c>
      <c r="AI7" s="73">
        <v>3</v>
      </c>
      <c r="AJ7" s="20">
        <f>'Game Description'!$C$22</f>
        <v>40</v>
      </c>
      <c r="AK7" s="74">
        <f>INDEX($N$11:$R$19,MATCH($AG7,$M$11:$M$19,0),MATCH(X$5,$N$10:$R$10,0))</f>
        <v>6</v>
      </c>
      <c r="AL7" s="74">
        <f>INDEX($N$11:$R$19,MATCH($AG7,$M$11:$M$19,0),MATCH(Y$5,$N$10:$R$10,0))</f>
        <v>7</v>
      </c>
      <c r="AM7" s="74">
        <f>INDEX($N$11:$R$19,MATCH($AG7,$M$11:$M$19,0),MATCH(Z$5,$N$10:$R$10,0))</f>
        <v>7</v>
      </c>
      <c r="AN7" s="74">
        <f>INDEX($N$11:$R$19,MATCH("AA",$M$11:$M$19,0),MATCH(AN$5,$N$10:$R$10,0))</f>
        <v>4</v>
      </c>
      <c r="AO7" s="74">
        <f>$R$20-R$19-R11</f>
        <v>40</v>
      </c>
      <c r="AP7" s="74">
        <f>AR7*$AD$43</f>
        <v>4704000</v>
      </c>
      <c r="AQ7" s="74">
        <f>PRODUCT(AK7:AO7)</f>
        <v>47040</v>
      </c>
      <c r="AR7" s="75">
        <f>IF(AJ7&gt;W7,AJ7,W7)*(AQ7/$AD$43)</f>
        <v>1.50528E-2</v>
      </c>
    </row>
    <row r="8" spans="1:45" ht="14.45" customHeight="1">
      <c r="A8" s="37" t="s">
        <v>40</v>
      </c>
      <c r="B8" s="37" t="s">
        <v>40</v>
      </c>
      <c r="C8" s="37" t="s">
        <v>40</v>
      </c>
      <c r="D8" s="37" t="s">
        <v>25</v>
      </c>
      <c r="E8" s="37" t="s">
        <v>27</v>
      </c>
      <c r="G8" s="37" t="s">
        <v>37</v>
      </c>
      <c r="H8" s="37" t="s">
        <v>37</v>
      </c>
      <c r="I8" s="37" t="s">
        <v>40</v>
      </c>
      <c r="J8" s="37" t="s">
        <v>37</v>
      </c>
      <c r="K8" s="37" t="s">
        <v>27</v>
      </c>
      <c r="L8" s="34"/>
      <c r="M8" s="34"/>
      <c r="N8" s="34"/>
      <c r="O8" s="34"/>
      <c r="U8" s="73" t="s">
        <v>23</v>
      </c>
      <c r="V8" s="73">
        <v>3</v>
      </c>
      <c r="W8" s="20">
        <f>'Game Description'!C15</f>
        <v>20</v>
      </c>
      <c r="X8" s="74">
        <f>INDEX($N$11:$R$19,MATCH($U8,$M$11:$M$18,0),MATCH(X$5,$N$10:$R$10,0))+N$19</f>
        <v>8</v>
      </c>
      <c r="Y8" s="74">
        <f>INDEX($N$11:$R$19,MATCH($U8,$M$11:$M$18,0),MATCH(Y$5,$N$10:$R$10,0))+O$19</f>
        <v>12</v>
      </c>
      <c r="Z8" s="74">
        <f>INDEX($N$11:$R$19,MATCH($U8,$M$11:$M$18,0),MATCH(Z$5,$N$10:$R$10,0))+P$19</f>
        <v>11</v>
      </c>
      <c r="AA8" s="74">
        <f>Q$20-(Q$19+INDEX($N$11:$R$19,MATCH($U8,$M$11:$M$18,0),MATCH(AA$5,$N$10:$R$10,0)))</f>
        <v>39</v>
      </c>
      <c r="AB8" s="74">
        <f>$R$20</f>
        <v>50</v>
      </c>
      <c r="AC8" s="74">
        <f t="shared" si="1"/>
        <v>29718000</v>
      </c>
      <c r="AD8" s="74">
        <f>PRODUCT(X8:AB8)- PRODUCT($N$19:$P$19)*AA8*AB8</f>
        <v>1485900</v>
      </c>
      <c r="AE8" s="75">
        <f>(AD8/$AD$43)*W8</f>
        <v>9.5097600000000004E-2</v>
      </c>
      <c r="AF8" s="79"/>
      <c r="AG8" s="73" t="s">
        <v>37</v>
      </c>
      <c r="AH8" s="73" t="s">
        <v>23</v>
      </c>
      <c r="AI8" s="73">
        <v>3</v>
      </c>
      <c r="AJ8" s="20">
        <f>'Game Description'!$C$22</f>
        <v>40</v>
      </c>
      <c r="AK8" s="74">
        <f>INDEX($N$11:$R$19,MATCH($AG8,$M$11:$M$19,0),MATCH(X$5,$N$10:$R$10,0))</f>
        <v>6</v>
      </c>
      <c r="AL8" s="74">
        <f>INDEX($N$11:$R$19,MATCH($AG8,$M$11:$M$19,0),MATCH(Y$5,$N$10:$R$10,0))</f>
        <v>7</v>
      </c>
      <c r="AM8" s="74">
        <f>INDEX($N$11:$R$19,MATCH($AG8,$M$11:$M$19,0),MATCH(Z$5,$N$10:$R$10,0))</f>
        <v>7</v>
      </c>
      <c r="AN8" s="74">
        <f>INDEX($N$11:$R$19,MATCH("AA",$M$11:$M$19,0),MATCH(AN$5,$N$10:$R$10,0))</f>
        <v>4</v>
      </c>
      <c r="AO8" s="74">
        <f>R11</f>
        <v>4</v>
      </c>
      <c r="AP8" s="74">
        <f>AR8*$AD$43</f>
        <v>940799.99999999988</v>
      </c>
      <c r="AQ8" s="74">
        <f>PRODUCT(AK8:AO8)</f>
        <v>4704</v>
      </c>
      <c r="AR8" s="75">
        <f>IF(AJ8&gt;W6,AJ8,W6)*(AQ8/$AD$43)</f>
        <v>3.0105599999999998E-3</v>
      </c>
      <c r="AS8" s="78"/>
    </row>
    <row r="9" spans="1:45" ht="14.45" customHeight="1">
      <c r="A9" s="37" t="s">
        <v>23</v>
      </c>
      <c r="B9" s="37" t="s">
        <v>25</v>
      </c>
      <c r="C9" s="37" t="s">
        <v>23</v>
      </c>
      <c r="D9" s="37" t="s">
        <v>31</v>
      </c>
      <c r="E9" s="37" t="s">
        <v>33</v>
      </c>
      <c r="G9" s="37" t="s">
        <v>37</v>
      </c>
      <c r="H9" s="37" t="s">
        <v>27</v>
      </c>
      <c r="I9" s="37" t="s">
        <v>25</v>
      </c>
      <c r="J9" s="37" t="s">
        <v>31</v>
      </c>
      <c r="K9" s="37" t="s">
        <v>33</v>
      </c>
      <c r="L9" s="34"/>
      <c r="M9" s="34" t="s">
        <v>95</v>
      </c>
      <c r="N9" s="34"/>
      <c r="O9" s="34"/>
      <c r="P9" s="34"/>
      <c r="Q9" s="34"/>
      <c r="U9" s="73" t="s">
        <v>25</v>
      </c>
      <c r="V9" s="73">
        <v>5</v>
      </c>
      <c r="W9" s="20">
        <f>'Game Description'!E16</f>
        <v>200</v>
      </c>
      <c r="X9" s="74">
        <f>INDEX($N$11:$R$19,MATCH($U9,$M$11:$M$18,0),MATCH(X$5,$N$10:$R$10,0))+N$19</f>
        <v>10</v>
      </c>
      <c r="Y9" s="74">
        <f>INDEX($N$11:$R$19,MATCH($U9,$M$11:$M$18,0),MATCH(Y$5,$N$10:$R$10,0))+O$19</f>
        <v>11</v>
      </c>
      <c r="Z9" s="74">
        <f>INDEX($N$11:$R$19,MATCH($U9,$M$11:$M$18,0),MATCH(Z$5,$N$10:$R$10,0))+P$19</f>
        <v>11</v>
      </c>
      <c r="AA9" s="74">
        <f>INDEX($N$11:$R$19,MATCH($U9,$M$11:$M$18,0),MATCH(AA$5,$N$10:$R$10,0))+Q$19</f>
        <v>10</v>
      </c>
      <c r="AB9" s="74">
        <f>INDEX($N$11:$R$19,MATCH($U9,$M$11:$M$18,0),MATCH(AB$5,$N$10:$R$10,0))+R$19</f>
        <v>9</v>
      </c>
      <c r="AC9" s="74">
        <f t="shared" si="1"/>
        <v>17546400</v>
      </c>
      <c r="AD9" s="74">
        <f>PRODUCT(X9:AB9)-AQ9-AQ11-AQ27</f>
        <v>87732</v>
      </c>
      <c r="AE9" s="75">
        <f>(AD9/$AD$43)*W9</f>
        <v>5.6148479999999994E-2</v>
      </c>
      <c r="AF9" s="78">
        <f>SUM(AE6:AE8)</f>
        <v>0.26054783999999998</v>
      </c>
      <c r="AG9" s="73" t="s">
        <v>37</v>
      </c>
      <c r="AH9" s="73" t="s">
        <v>25</v>
      </c>
      <c r="AI9" s="73">
        <v>4</v>
      </c>
      <c r="AJ9" s="20">
        <f>'Game Description'!$D$22</f>
        <v>400</v>
      </c>
      <c r="AK9" s="74">
        <f>INDEX($N$11:$R$19,MATCH($AG9,$M$11:$M$19,0),MATCH(X$5,$N$10:$R$10,0))</f>
        <v>6</v>
      </c>
      <c r="AL9" s="74">
        <f>INDEX($N$11:$R$19,MATCH($AG9,$M$11:$M$19,0),MATCH(Y$5,$N$10:$R$10,0))</f>
        <v>7</v>
      </c>
      <c r="AM9" s="74">
        <f>INDEX($N$11:$R$19,MATCH($AG9,$M$11:$M$19,0),MATCH(Z$5,$N$10:$R$10,0))</f>
        <v>7</v>
      </c>
      <c r="AN9" s="74">
        <f>INDEX($N$11:$R$19,MATCH($AG9,$M$11:$M$19,0),MATCH(AA$5,$N$10:$R$10,0))</f>
        <v>7</v>
      </c>
      <c r="AO9" s="74">
        <f>INDEX($N$11:$R$19,MATCH("BB",$M$11:$M$19,0),MATCH(AO$5,$N$10:$R$10,0))</f>
        <v>3</v>
      </c>
      <c r="AP9" s="74">
        <f>AR9*$AD$43</f>
        <v>2469600</v>
      </c>
      <c r="AQ9" s="74">
        <f t="shared" si="0"/>
        <v>6174</v>
      </c>
      <c r="AR9" s="75">
        <f>IF(AJ9&gt;W9,AJ9,W9)*(AQ9/$AD$43)</f>
        <v>7.9027200000000002E-3</v>
      </c>
    </row>
    <row r="10" spans="1:45" ht="14.45" customHeight="1">
      <c r="A10" s="37" t="s">
        <v>27</v>
      </c>
      <c r="B10" s="37" t="s">
        <v>29</v>
      </c>
      <c r="C10" s="37" t="s">
        <v>27</v>
      </c>
      <c r="D10" s="37" t="s">
        <v>31</v>
      </c>
      <c r="E10" s="37" t="s">
        <v>31</v>
      </c>
      <c r="G10" s="37" t="s">
        <v>23</v>
      </c>
      <c r="H10" s="37" t="s">
        <v>31</v>
      </c>
      <c r="I10" s="37" t="s">
        <v>25</v>
      </c>
      <c r="J10" s="37" t="s">
        <v>31</v>
      </c>
      <c r="K10" s="37" t="s">
        <v>31</v>
      </c>
      <c r="L10" s="34"/>
      <c r="M10" s="33" t="s">
        <v>89</v>
      </c>
      <c r="N10" s="33" t="s">
        <v>42</v>
      </c>
      <c r="O10" s="33" t="s">
        <v>43</v>
      </c>
      <c r="P10" s="33" t="s">
        <v>44</v>
      </c>
      <c r="Q10" s="33" t="s">
        <v>45</v>
      </c>
      <c r="R10" s="33" t="s">
        <v>46</v>
      </c>
      <c r="U10" s="73" t="s">
        <v>25</v>
      </c>
      <c r="V10" s="73">
        <v>4</v>
      </c>
      <c r="W10" s="20">
        <f>'Game Description'!D16</f>
        <v>100</v>
      </c>
      <c r="X10" s="74">
        <f>INDEX($N$11:$R$19,MATCH($U10,$M$11:$M$18,0),MATCH(X$5,$N$10:$R$10,0))+N$19</f>
        <v>10</v>
      </c>
      <c r="Y10" s="74">
        <f>INDEX($N$11:$R$19,MATCH($U10,$M$11:$M$18,0),MATCH(Y$5,$N$10:$R$10,0))+O$19</f>
        <v>11</v>
      </c>
      <c r="Z10" s="74">
        <f>INDEX($N$11:$R$19,MATCH($U10,$M$11:$M$18,0),MATCH(Z$5,$N$10:$R$10,0))+P$19</f>
        <v>11</v>
      </c>
      <c r="AA10" s="74">
        <f>INDEX($N$11:$R$19,MATCH($U10,$M$11:$M$18,0),MATCH(AA$5,$N$10:$R$10,0))+Q$19</f>
        <v>10</v>
      </c>
      <c r="AB10" s="74">
        <f>R$20-(R$19+INDEX($N$11:$R$19,MATCH($U10,$M$11:$M$17,0),MATCH(AB$5,$N$10:$R$10,0)))</f>
        <v>41</v>
      </c>
      <c r="AC10" s="74">
        <f t="shared" si="1"/>
        <v>37556000</v>
      </c>
      <c r="AD10" s="74">
        <f>PRODUCT(X10:AB10)-PRODUCT($N$19:$Q$19)*$AB10-$AQ10</f>
        <v>375560</v>
      </c>
      <c r="AE10" s="75">
        <f>(AD10/$AD$43)*W10</f>
        <v>0.12017919999999999</v>
      </c>
      <c r="AG10" s="73" t="s">
        <v>37</v>
      </c>
      <c r="AH10" s="73" t="s">
        <v>25</v>
      </c>
      <c r="AI10" s="73">
        <v>3</v>
      </c>
      <c r="AJ10" s="20">
        <f>'Game Description'!$C$22</f>
        <v>40</v>
      </c>
      <c r="AK10" s="74">
        <f>INDEX($N$11:$R$19,MATCH($AG10,$M$11:$M$19,0),MATCH(X$5,$N$10:$R$10,0))</f>
        <v>6</v>
      </c>
      <c r="AL10" s="74">
        <f>INDEX($N$11:$R$19,MATCH($AG10,$M$11:$M$19,0),MATCH(Y$5,$N$10:$R$10,0))</f>
        <v>7</v>
      </c>
      <c r="AM10" s="74">
        <f>INDEX($N$11:$R$19,MATCH($AG10,$M$11:$M$19,0),MATCH(Z$5,$N$10:$R$10,0))</f>
        <v>7</v>
      </c>
      <c r="AN10" s="74">
        <f>INDEX($N$11:$R$19,MATCH("BB",$M$11:$M$19,0),MATCH(AN$5,$N$10:$R$10,0))</f>
        <v>3</v>
      </c>
      <c r="AO10" s="74">
        <f>$R$20-R$19-R12</f>
        <v>41</v>
      </c>
      <c r="AP10" s="74">
        <f>AR10*$AD$43</f>
        <v>3616200</v>
      </c>
      <c r="AQ10" s="74">
        <f t="shared" si="0"/>
        <v>36162</v>
      </c>
      <c r="AR10" s="75">
        <f>IF(AJ10&gt;W10,AJ10,W10)*(AQ10/$AD$43)</f>
        <v>1.157184E-2</v>
      </c>
    </row>
    <row r="11" spans="1:45" ht="14.45" customHeight="1">
      <c r="A11" s="37" t="s">
        <v>40</v>
      </c>
      <c r="B11" s="37" t="s">
        <v>40</v>
      </c>
      <c r="C11" s="37" t="s">
        <v>40</v>
      </c>
      <c r="D11" s="37" t="s">
        <v>35</v>
      </c>
      <c r="E11" s="37" t="s">
        <v>23</v>
      </c>
      <c r="G11" s="37" t="s">
        <v>23</v>
      </c>
      <c r="H11" s="37" t="s">
        <v>40</v>
      </c>
      <c r="I11" s="37" t="s">
        <v>25</v>
      </c>
      <c r="J11" s="37" t="s">
        <v>35</v>
      </c>
      <c r="K11" s="37" t="s">
        <v>40</v>
      </c>
      <c r="L11" s="34"/>
      <c r="M11" s="2" t="s">
        <v>23</v>
      </c>
      <c r="N11">
        <f>COUNTIF(G$1:G$899,$M11)</f>
        <v>2</v>
      </c>
      <c r="O11">
        <f>COUNTIF(H$1:H$899,$M11)</f>
        <v>5</v>
      </c>
      <c r="P11">
        <f>COUNTIF(I$1:I$899,$M11)</f>
        <v>4</v>
      </c>
      <c r="Q11">
        <f>COUNTIF(J$1:J$899,$M11)</f>
        <v>4</v>
      </c>
      <c r="R11">
        <f>COUNTIF(K$1:K$899,$M11)</f>
        <v>4</v>
      </c>
      <c r="U11" s="73" t="s">
        <v>25</v>
      </c>
      <c r="V11" s="73">
        <v>3</v>
      </c>
      <c r="W11" s="20">
        <f>'Game Description'!C16</f>
        <v>20</v>
      </c>
      <c r="X11" s="74">
        <f>INDEX($N$11:$R$19,MATCH($U11,$M$11:$M$18,0),MATCH(X$5,$N$10:$R$10,0))+N$19</f>
        <v>10</v>
      </c>
      <c r="Y11" s="74">
        <f>INDEX($N$11:$R$19,MATCH($U11,$M$11:$M$18,0),MATCH(Y$5,$N$10:$R$10,0))+O$19</f>
        <v>11</v>
      </c>
      <c r="Z11" s="74">
        <f>INDEX($N$11:$R$19,MATCH($U11,$M$11:$M$18,0),MATCH(Z$5,$N$10:$R$10,0))+P$19</f>
        <v>11</v>
      </c>
      <c r="AA11" s="74">
        <f>Q$20-(Q$19+INDEX($N$11:$R$19,MATCH($U11,$M$11:$M$18,0),MATCH(AA$5,$N$10:$R$10,0)))</f>
        <v>40</v>
      </c>
      <c r="AB11" s="74">
        <f t="shared" ref="AB11" si="2">$R$20</f>
        <v>50</v>
      </c>
      <c r="AC11" s="74">
        <f t="shared" si="1"/>
        <v>36640000</v>
      </c>
      <c r="AD11" s="74">
        <f>PRODUCT(X11:AB11)- PRODUCT($N$19:$P$19)*AA11*AB11</f>
        <v>1832000</v>
      </c>
      <c r="AE11" s="80">
        <f>AD11/$AD$43*W11</f>
        <v>0.117248</v>
      </c>
      <c r="AG11" s="73" t="s">
        <v>37</v>
      </c>
      <c r="AH11" s="73" t="s">
        <v>25</v>
      </c>
      <c r="AI11" s="73">
        <v>3</v>
      </c>
      <c r="AJ11" s="20">
        <f>'Game Description'!$C$22</f>
        <v>40</v>
      </c>
      <c r="AK11" s="74">
        <f>INDEX($N$11:$R$19,MATCH($AG11,$M$11:$M$19,0),MATCH(X$5,$N$10:$R$10,0))</f>
        <v>6</v>
      </c>
      <c r="AL11" s="74">
        <f>INDEX($N$11:$R$19,MATCH($AG11,$M$11:$M$19,0),MATCH(Y$5,$N$10:$R$10,0))</f>
        <v>7</v>
      </c>
      <c r="AM11" s="74">
        <f>INDEX($N$11:$R$19,MATCH($AG11,$M$11:$M$19,0),MATCH(Z$5,$N$10:$R$10,0))</f>
        <v>7</v>
      </c>
      <c r="AN11" s="74">
        <f>INDEX($N$11:$R$19,MATCH("BB",$M$11:$M$19,0),MATCH(AN$5,$N$10:$R$10,0))</f>
        <v>3</v>
      </c>
      <c r="AO11" s="74">
        <f>R12</f>
        <v>3</v>
      </c>
      <c r="AP11" s="74">
        <f>AR11*$AD$43</f>
        <v>529200</v>
      </c>
      <c r="AQ11" s="74">
        <f t="shared" si="0"/>
        <v>2646</v>
      </c>
      <c r="AR11" s="75">
        <f>IF(AJ11&gt;W9,AJ11,W9)*(AQ11/$AD$43)</f>
        <v>1.6934399999999998E-3</v>
      </c>
      <c r="AS11" s="79"/>
    </row>
    <row r="12" spans="1:45" ht="14.45" customHeight="1">
      <c r="A12" s="37" t="s">
        <v>31</v>
      </c>
      <c r="B12" s="37" t="s">
        <v>33</v>
      </c>
      <c r="C12" s="37" t="s">
        <v>31</v>
      </c>
      <c r="D12" s="37" t="s">
        <v>27</v>
      </c>
      <c r="E12" s="37" t="s">
        <v>35</v>
      </c>
      <c r="G12" s="37" t="s">
        <v>35</v>
      </c>
      <c r="H12" s="37" t="s">
        <v>23</v>
      </c>
      <c r="I12" s="37" t="s">
        <v>35</v>
      </c>
      <c r="J12" s="37" t="s">
        <v>27</v>
      </c>
      <c r="K12" s="37" t="s">
        <v>35</v>
      </c>
      <c r="L12" s="34"/>
      <c r="M12" s="2" t="s">
        <v>25</v>
      </c>
      <c r="N12">
        <f>COUNTIF(G$1:G$899,$M12)</f>
        <v>4</v>
      </c>
      <c r="O12">
        <f>COUNTIF(H$1:H$899,$M12)</f>
        <v>4</v>
      </c>
      <c r="P12">
        <f>COUNTIF(I$1:I$899,$M12)</f>
        <v>4</v>
      </c>
      <c r="Q12">
        <f>COUNTIF(J$1:J$899,$M12)</f>
        <v>3</v>
      </c>
      <c r="R12">
        <f>COUNTIF(K$1:K$899,$M12)</f>
        <v>3</v>
      </c>
      <c r="U12" s="73" t="s">
        <v>27</v>
      </c>
      <c r="V12" s="73">
        <v>5</v>
      </c>
      <c r="W12" s="20">
        <f>'Game Description'!E17</f>
        <v>200</v>
      </c>
      <c r="X12" s="74">
        <f>INDEX($N$11:$R$19,MATCH($U12,$M$11:$M$18,0),MATCH(X$5,$N$10:$R$10,0))+N$19</f>
        <v>10</v>
      </c>
      <c r="Y12" s="74">
        <f>INDEX($N$11:$R$19,MATCH($U12,$M$11:$M$18,0),MATCH(Y$5,$N$10:$R$10,0))+O$19</f>
        <v>11</v>
      </c>
      <c r="Z12" s="74">
        <f>INDEX($N$11:$R$19,MATCH($U12,$M$11:$M$18,0),MATCH(Z$5,$N$10:$R$10,0))+P$19</f>
        <v>9</v>
      </c>
      <c r="AA12" s="74">
        <f>INDEX($N$11:$R$19,MATCH($U12,$M$11:$M$18,0),MATCH(AA$5,$N$10:$R$10,0))+Q$19</f>
        <v>12</v>
      </c>
      <c r="AB12" s="74">
        <f>INDEX($N$11:$R$19,MATCH($U12,$M$11:$M$18,0),MATCH(AB$5,$N$10:$R$10,0))+R$19</f>
        <v>12</v>
      </c>
      <c r="AC12" s="74">
        <f t="shared" si="1"/>
        <v>21808800</v>
      </c>
      <c r="AD12" s="74">
        <f>PRODUCT(X12:AB12)-AQ12-AQ14-AQ27</f>
        <v>109044</v>
      </c>
      <c r="AE12" s="75">
        <f>(AD12/$AD$43)*W12</f>
        <v>6.9788160000000002E-2</v>
      </c>
      <c r="AF12" s="84">
        <f>SUM(AE9:AE11)</f>
        <v>0.29357568000000001</v>
      </c>
      <c r="AG12" s="73" t="s">
        <v>37</v>
      </c>
      <c r="AH12" s="73" t="s">
        <v>27</v>
      </c>
      <c r="AI12" s="73">
        <v>4</v>
      </c>
      <c r="AJ12" s="20">
        <f>'Game Description'!$D$22</f>
        <v>400</v>
      </c>
      <c r="AK12" s="74">
        <f>INDEX($N$11:$R$19,MATCH($AG12,$M$11:$M$19,0),MATCH(X$5,$N$10:$R$10,0))</f>
        <v>6</v>
      </c>
      <c r="AL12" s="74">
        <f>INDEX($N$11:$R$19,MATCH($AG12,$M$11:$M$19,0),MATCH(Y$5,$N$10:$R$10,0))</f>
        <v>7</v>
      </c>
      <c r="AM12" s="74">
        <f>INDEX($N$11:$R$19,MATCH($AG12,$M$11:$M$19,0),MATCH(Z$5,$N$10:$R$10,0))</f>
        <v>7</v>
      </c>
      <c r="AN12" s="74">
        <f>INDEX($N$11:$R$19,MATCH($AG12,$M$11:$M$19,0),MATCH(AA$5,$N$10:$R$10,0))</f>
        <v>7</v>
      </c>
      <c r="AO12" s="74">
        <f>INDEX($N$11:$R$19,MATCH("CC",$M$11:$M$19,0),MATCH(AO$5,$N$10:$R$10,0))</f>
        <v>6</v>
      </c>
      <c r="AP12" s="74">
        <f>AR12*$AD$43</f>
        <v>4939200</v>
      </c>
      <c r="AQ12" s="74">
        <f t="shared" si="0"/>
        <v>12348</v>
      </c>
      <c r="AR12" s="75">
        <f>IF(AJ12&gt;W12,AJ12,W12)*(AQ12/$AD$43)</f>
        <v>1.580544E-2</v>
      </c>
    </row>
    <row r="13" spans="1:45" ht="14.45" customHeight="1">
      <c r="A13" s="37" t="s">
        <v>23</v>
      </c>
      <c r="B13" s="37" t="s">
        <v>25</v>
      </c>
      <c r="C13" s="37" t="s">
        <v>23</v>
      </c>
      <c r="D13" s="81" t="s">
        <v>23</v>
      </c>
      <c r="E13" s="37" t="s">
        <v>29</v>
      </c>
      <c r="G13" s="37" t="s">
        <v>37</v>
      </c>
      <c r="H13" s="37" t="s">
        <v>33</v>
      </c>
      <c r="I13" s="37" t="s">
        <v>23</v>
      </c>
      <c r="J13" s="43" t="s">
        <v>37</v>
      </c>
      <c r="K13" s="37" t="s">
        <v>29</v>
      </c>
      <c r="L13" s="34"/>
      <c r="M13" s="2" t="s">
        <v>27</v>
      </c>
      <c r="N13">
        <f>COUNTIF(G$1:G$899,$M13)</f>
        <v>4</v>
      </c>
      <c r="O13">
        <f>COUNTIF(H$1:H$899,$M13)</f>
        <v>4</v>
      </c>
      <c r="P13">
        <f>COUNTIF(I$1:I$899,$M13)</f>
        <v>2</v>
      </c>
      <c r="Q13">
        <f>COUNTIF(J$1:J$899,$M13)</f>
        <v>5</v>
      </c>
      <c r="R13">
        <f>COUNTIF(K$1:K$899,$M13)</f>
        <v>6</v>
      </c>
      <c r="T13" s="34"/>
      <c r="U13" s="73" t="s">
        <v>27</v>
      </c>
      <c r="V13" s="73">
        <v>4</v>
      </c>
      <c r="W13" s="20">
        <f>'Game Description'!D17</f>
        <v>100</v>
      </c>
      <c r="X13" s="74">
        <f>INDEX($N$11:$R$19,MATCH($U13,$M$11:$M$18,0),MATCH(X$5,$N$10:$R$10,0))+N$19</f>
        <v>10</v>
      </c>
      <c r="Y13" s="74">
        <f>INDEX($N$11:$R$19,MATCH($U13,$M$11:$M$18,0),MATCH(Y$5,$N$10:$R$10,0))+O$19</f>
        <v>11</v>
      </c>
      <c r="Z13" s="74">
        <f>INDEX($N$11:$R$19,MATCH($U13,$M$11:$M$18,0),MATCH(Z$5,$N$10:$R$10,0))+P$19</f>
        <v>9</v>
      </c>
      <c r="AA13" s="74">
        <f>INDEX($N$11:$R$19,MATCH($U13,$M$11:$M$18,0),MATCH(AA$5,$N$10:$R$10,0))+Q$19</f>
        <v>12</v>
      </c>
      <c r="AB13" s="74">
        <f>R$20-(R$19+INDEX($N$11:$R$19,MATCH($U13,$M$11:$M$17,0),MATCH(AB$5,$N$10:$R$10,0)))</f>
        <v>38</v>
      </c>
      <c r="AC13" s="74">
        <f t="shared" si="1"/>
        <v>31737600</v>
      </c>
      <c r="AD13" s="74">
        <f>PRODUCT(X13:AB13)-PRODUCT($N$19:$Q$19)*$AB13-$AQ13</f>
        <v>317376</v>
      </c>
      <c r="AE13" s="75">
        <f>(AD13/$AD$43)*W13</f>
        <v>0.10156032</v>
      </c>
      <c r="AG13" s="73" t="s">
        <v>37</v>
      </c>
      <c r="AH13" s="73" t="s">
        <v>27</v>
      </c>
      <c r="AI13" s="73">
        <v>3</v>
      </c>
      <c r="AJ13" s="20">
        <f>'Game Description'!$C$22</f>
        <v>40</v>
      </c>
      <c r="AK13" s="74">
        <f>INDEX($N$11:$R$19,MATCH($AG13,$M$11:$M$19,0),MATCH(X$5,$N$10:$R$10,0))</f>
        <v>6</v>
      </c>
      <c r="AL13" s="74">
        <f>INDEX($N$11:$R$19,MATCH($AG13,$M$11:$M$19,0),MATCH(Y$5,$N$10:$R$10,0))</f>
        <v>7</v>
      </c>
      <c r="AM13" s="74">
        <f>INDEX($N$11:$R$19,MATCH($AG13,$M$11:$M$19,0),MATCH(Z$5,$N$10:$R$10,0))</f>
        <v>7</v>
      </c>
      <c r="AN13" s="74">
        <f>INDEX($N$11:$R$19,MATCH("CC",$M$11:$M$19,0),MATCH(AN$5,$N$10:$R$10,0))</f>
        <v>5</v>
      </c>
      <c r="AO13" s="74">
        <f>$R$20-R$19-R13</f>
        <v>38</v>
      </c>
      <c r="AP13" s="74">
        <f>AR13*$AD$43</f>
        <v>5586000</v>
      </c>
      <c r="AQ13" s="74">
        <f t="shared" si="0"/>
        <v>55860</v>
      </c>
      <c r="AR13" s="75">
        <f>IF(AJ13&gt;W13,AJ13,W13)*(AQ13/$AD$43)</f>
        <v>1.7875200000000001E-2</v>
      </c>
    </row>
    <row r="14" spans="1:45" ht="14.45" customHeight="1">
      <c r="A14" s="37" t="s">
        <v>40</v>
      </c>
      <c r="B14" s="37" t="s">
        <v>40</v>
      </c>
      <c r="C14" s="37" t="s">
        <v>40</v>
      </c>
      <c r="D14" s="37" t="s">
        <v>35</v>
      </c>
      <c r="E14" s="37" t="s">
        <v>23</v>
      </c>
      <c r="G14" s="37" t="s">
        <v>37</v>
      </c>
      <c r="H14" s="37" t="s">
        <v>29</v>
      </c>
      <c r="I14" s="37" t="s">
        <v>23</v>
      </c>
      <c r="J14" s="37" t="s">
        <v>37</v>
      </c>
      <c r="K14" s="37" t="s">
        <v>37</v>
      </c>
      <c r="L14" s="34"/>
      <c r="M14" s="2" t="s">
        <v>29</v>
      </c>
      <c r="N14">
        <f>COUNTIF(G$1:G$899,$M14)</f>
        <v>6</v>
      </c>
      <c r="O14">
        <f>COUNTIF(H$1:H$899,$M14)</f>
        <v>6</v>
      </c>
      <c r="P14">
        <f>COUNTIF(I$1:I$899,$M14)</f>
        <v>7</v>
      </c>
      <c r="Q14">
        <f>COUNTIF(J$1:J$899,$M14)</f>
        <v>8</v>
      </c>
      <c r="R14">
        <f>COUNTIF(K$1:K$899,$M14)</f>
        <v>7</v>
      </c>
      <c r="U14" s="73" t="s">
        <v>27</v>
      </c>
      <c r="V14" s="73">
        <v>3</v>
      </c>
      <c r="W14" s="20">
        <f>'Game Description'!C17</f>
        <v>20</v>
      </c>
      <c r="X14" s="74">
        <f>INDEX($N$11:$R$19,MATCH($U14,$M$11:$M$18,0),MATCH(X$5,$N$10:$R$10,0))+N$19</f>
        <v>10</v>
      </c>
      <c r="Y14" s="74">
        <f>INDEX($N$11:$R$19,MATCH($U14,$M$11:$M$18,0),MATCH(Y$5,$N$10:$R$10,0))+O$19</f>
        <v>11</v>
      </c>
      <c r="Z14" s="74">
        <f>INDEX($N$11:$R$19,MATCH($U14,$M$11:$M$18,0),MATCH(Z$5,$N$10:$R$10,0))+P$19</f>
        <v>9</v>
      </c>
      <c r="AA14" s="74">
        <f>Q$20-(Q$19+INDEX($N$11:$R$19,MATCH($U14,$M$11:$M$18,0),MATCH(AA$5,$N$10:$R$10,0)))</f>
        <v>38</v>
      </c>
      <c r="AB14" s="74">
        <f t="shared" ref="AB14" si="3">$R$20</f>
        <v>50</v>
      </c>
      <c r="AC14" s="74">
        <f t="shared" si="1"/>
        <v>26448000</v>
      </c>
      <c r="AD14" s="74">
        <f>PRODUCT(X14:AB14)- PRODUCT($N$19:$P$19)*AA14*AB14</f>
        <v>1322400</v>
      </c>
      <c r="AE14" s="75">
        <f>(AD14/$AD$43)*W14</f>
        <v>8.4633600000000003E-2</v>
      </c>
      <c r="AG14" s="73" t="s">
        <v>37</v>
      </c>
      <c r="AH14" s="73" t="s">
        <v>27</v>
      </c>
      <c r="AI14" s="73">
        <v>3</v>
      </c>
      <c r="AJ14" s="20">
        <f>'Game Description'!$C$22</f>
        <v>40</v>
      </c>
      <c r="AK14" s="74">
        <f>INDEX($N$11:$R$19,MATCH($AG14,$M$11:$M$19,0),MATCH(X$5,$N$10:$R$10,0))</f>
        <v>6</v>
      </c>
      <c r="AL14" s="74">
        <f>INDEX($N$11:$R$19,MATCH($AG14,$M$11:$M$19,0),MATCH(Y$5,$N$10:$R$10,0))</f>
        <v>7</v>
      </c>
      <c r="AM14" s="74">
        <f>INDEX($N$11:$R$19,MATCH($AG14,$M$11:$M$19,0),MATCH(Z$5,$N$10:$R$10,0))</f>
        <v>7</v>
      </c>
      <c r="AN14" s="74">
        <f>INDEX($N$11:$R$19,MATCH("CC",$M$11:$M$19,0),MATCH(AN$5,$N$10:$R$10,0))</f>
        <v>5</v>
      </c>
      <c r="AO14" s="74">
        <f>R13</f>
        <v>6</v>
      </c>
      <c r="AP14" s="74">
        <f>AR14*$AD$43</f>
        <v>1764000</v>
      </c>
      <c r="AQ14" s="74">
        <f t="shared" si="0"/>
        <v>8820</v>
      </c>
      <c r="AR14" s="75">
        <f>IF(AJ14&gt;W12,AJ14,W12)*(AQ14/$AD$43)</f>
        <v>5.6448000000000002E-3</v>
      </c>
      <c r="AS14" s="78"/>
    </row>
    <row r="15" spans="1:45" ht="14.45" customHeight="1">
      <c r="A15" s="37" t="s">
        <v>35</v>
      </c>
      <c r="B15" s="37" t="s">
        <v>25</v>
      </c>
      <c r="C15" s="37" t="s">
        <v>35</v>
      </c>
      <c r="D15" s="37" t="s">
        <v>35</v>
      </c>
      <c r="E15" s="37" t="s">
        <v>25</v>
      </c>
      <c r="G15" s="37" t="s">
        <v>35</v>
      </c>
      <c r="H15" s="37" t="s">
        <v>35</v>
      </c>
      <c r="I15" s="37" t="s">
        <v>23</v>
      </c>
      <c r="J15" s="37" t="s">
        <v>35</v>
      </c>
      <c r="K15" s="37" t="s">
        <v>37</v>
      </c>
      <c r="L15" s="34"/>
      <c r="M15" s="2" t="s">
        <v>31</v>
      </c>
      <c r="N15">
        <f>COUNTIF(G$1:G$899,$M15)</f>
        <v>7</v>
      </c>
      <c r="O15">
        <f>COUNTIF(H$1:H$899,$M15)</f>
        <v>6</v>
      </c>
      <c r="P15">
        <f>COUNTIF(I$1:I$899,$M15)</f>
        <v>6</v>
      </c>
      <c r="Q15">
        <f>COUNTIF(J$1:J$899,$M15)</f>
        <v>6</v>
      </c>
      <c r="R15">
        <f>COUNTIF(K$1:K$899,$M15)</f>
        <v>7</v>
      </c>
      <c r="S15" s="34"/>
      <c r="T15" s="34"/>
      <c r="U15" s="73" t="s">
        <v>29</v>
      </c>
      <c r="V15" s="73">
        <v>5</v>
      </c>
      <c r="W15" s="20">
        <f>'Game Description'!E18</f>
        <v>100</v>
      </c>
      <c r="X15" s="74">
        <f>INDEX($N$11:$R$19,MATCH($U15,$M$11:$M$18,0),MATCH(X$5,$N$10:$R$10,0))+N$19</f>
        <v>12</v>
      </c>
      <c r="Y15" s="74">
        <f>INDEX($N$11:$R$19,MATCH($U15,$M$11:$M$18,0),MATCH(Y$5,$N$10:$R$10,0))+O$19</f>
        <v>13</v>
      </c>
      <c r="Z15" s="74">
        <f>INDEX($N$11:$R$19,MATCH($U15,$M$11:$M$18,0),MATCH(Z$5,$N$10:$R$10,0))+P$19</f>
        <v>14</v>
      </c>
      <c r="AA15" s="74">
        <f>INDEX($N$11:$R$19,MATCH($U15,$M$11:$M$18,0),MATCH(AA$5,$N$10:$R$10,0))+Q$19</f>
        <v>15</v>
      </c>
      <c r="AB15" s="74">
        <f>INDEX($N$11:$R$19,MATCH($U15,$M$11:$M$18,0),MATCH(AB$5,$N$10:$R$10,0))+R$19</f>
        <v>13</v>
      </c>
      <c r="AC15" s="74">
        <f t="shared" si="1"/>
        <v>38266200</v>
      </c>
      <c r="AD15" s="74">
        <f>PRODUCT(X15:AB15)-AQ15-AQ17-AQ27</f>
        <v>382662</v>
      </c>
      <c r="AE15" s="75">
        <f>(AD15/$AD$43)*W15</f>
        <v>0.12245184000000001</v>
      </c>
      <c r="AF15" s="78">
        <f t="shared" ref="AF15" si="4">SUM(AE12:AE14)</f>
        <v>0.25598208</v>
      </c>
      <c r="AG15" s="73" t="s">
        <v>37</v>
      </c>
      <c r="AH15" s="73" t="s">
        <v>29</v>
      </c>
      <c r="AI15" s="73">
        <v>4</v>
      </c>
      <c r="AJ15" s="20">
        <f>'Game Description'!$D$22</f>
        <v>400</v>
      </c>
      <c r="AK15" s="74">
        <f>INDEX($N$11:$R$19,MATCH($AG15,$M$11:$M$19,0),MATCH(X$5,$N$10:$R$10,0))</f>
        <v>6</v>
      </c>
      <c r="AL15" s="74">
        <f>INDEX($N$11:$R$19,MATCH($AG15,$M$11:$M$19,0),MATCH(Y$5,$N$10:$R$10,0))</f>
        <v>7</v>
      </c>
      <c r="AM15" s="74">
        <f>INDEX($N$11:$R$19,MATCH($AG15,$M$11:$M$19,0),MATCH(Z$5,$N$10:$R$10,0))</f>
        <v>7</v>
      </c>
      <c r="AN15" s="74">
        <f>INDEX($N$11:$R$19,MATCH($AG15,$M$11:$M$19,0),MATCH(AA$5,$N$10:$R$10,0))</f>
        <v>7</v>
      </c>
      <c r="AO15" s="74">
        <f>INDEX($N$11:$R$19,MATCH("DD",$M$11:$M$19,0),MATCH(AO$5,$N$10:$R$10,0))</f>
        <v>7</v>
      </c>
      <c r="AP15" s="74">
        <f>AR15*$AD$43</f>
        <v>5762400</v>
      </c>
      <c r="AQ15" s="74">
        <f t="shared" si="0"/>
        <v>14406</v>
      </c>
      <c r="AR15" s="75">
        <f>IF(AJ15&gt;W15,AJ15,W15)*(AQ15/$AD$43)</f>
        <v>1.843968E-2</v>
      </c>
    </row>
    <row r="16" spans="1:45" ht="14.45" customHeight="1">
      <c r="A16" s="37" t="s">
        <v>27</v>
      </c>
      <c r="B16" s="37" t="s">
        <v>29</v>
      </c>
      <c r="C16" s="37" t="s">
        <v>27</v>
      </c>
      <c r="D16" s="37" t="s">
        <v>31</v>
      </c>
      <c r="E16" s="37" t="s">
        <v>29</v>
      </c>
      <c r="G16" s="37" t="s">
        <v>29</v>
      </c>
      <c r="H16" s="37" t="s">
        <v>35</v>
      </c>
      <c r="I16" s="37" t="s">
        <v>37</v>
      </c>
      <c r="J16" s="37" t="s">
        <v>29</v>
      </c>
      <c r="K16" s="37" t="s">
        <v>29</v>
      </c>
      <c r="L16" s="34"/>
      <c r="M16" s="2" t="s">
        <v>33</v>
      </c>
      <c r="N16">
        <f>COUNTIF(G$1:G$899,$M16)</f>
        <v>9</v>
      </c>
      <c r="O16">
        <f>COUNTIF(H$1:H$899,$M16)</f>
        <v>8</v>
      </c>
      <c r="P16">
        <f>COUNTIF(I$1:I$899,$M16)</f>
        <v>9</v>
      </c>
      <c r="Q16">
        <f>COUNTIF(J$1:J$899,$M16)</f>
        <v>7</v>
      </c>
      <c r="R16">
        <f>COUNTIF(K$1:K$899,$M16)</f>
        <v>9</v>
      </c>
      <c r="U16" s="73" t="s">
        <v>29</v>
      </c>
      <c r="V16" s="73">
        <v>4</v>
      </c>
      <c r="W16" s="20">
        <f>'Game Description'!D18</f>
        <v>20</v>
      </c>
      <c r="X16" s="74">
        <f>INDEX($N$11:$R$19,MATCH($U16,$M$11:$M$18,0),MATCH(X$5,$N$10:$R$10,0))+N$19</f>
        <v>12</v>
      </c>
      <c r="Y16" s="74">
        <f>INDEX($N$11:$R$19,MATCH($U16,$M$11:$M$18,0),MATCH(Y$5,$N$10:$R$10,0))+O$19</f>
        <v>13</v>
      </c>
      <c r="Z16" s="74">
        <f>INDEX($N$11:$R$19,MATCH($U16,$M$11:$M$18,0),MATCH(Z$5,$N$10:$R$10,0))+P$19</f>
        <v>14</v>
      </c>
      <c r="AA16" s="74">
        <f>INDEX($N$11:$R$19,MATCH($U16,$M$11:$M$18,0),MATCH(AA$5,$N$10:$R$10,0))+Q$19</f>
        <v>15</v>
      </c>
      <c r="AB16" s="74">
        <f>R$20-(R$19+INDEX($N$11:$R$19,MATCH($U16,$M$11:$M$17,0),MATCH(AB$5,$N$10:$R$10,0)))</f>
        <v>37</v>
      </c>
      <c r="AC16" s="74">
        <f t="shared" si="1"/>
        <v>20979000</v>
      </c>
      <c r="AD16" s="74">
        <f>PRODUCT(X16:AB16)-PRODUCT($N$19:$Q$19)*$AB16-$AQ16</f>
        <v>1048950</v>
      </c>
      <c r="AE16" s="75">
        <f>(AD16/$AD$43)*W16</f>
        <v>6.7132800000000006E-2</v>
      </c>
      <c r="AG16" s="73" t="s">
        <v>37</v>
      </c>
      <c r="AH16" s="73" t="s">
        <v>29</v>
      </c>
      <c r="AI16" s="73">
        <v>3</v>
      </c>
      <c r="AJ16" s="20">
        <f>'Game Description'!$C$22</f>
        <v>40</v>
      </c>
      <c r="AK16" s="74">
        <f>INDEX($N$11:$R$19,MATCH($AG16,$M$11:$M$19,0),MATCH(X$5,$N$10:$R$10,0))</f>
        <v>6</v>
      </c>
      <c r="AL16" s="74">
        <f>INDEX($N$11:$R$19,MATCH($AG16,$M$11:$M$19,0),MATCH(Y$5,$N$10:$R$10,0))</f>
        <v>7</v>
      </c>
      <c r="AM16" s="74">
        <f>INDEX($N$11:$R$19,MATCH($AG16,$M$11:$M$19,0),MATCH(Z$5,$N$10:$R$10,0))</f>
        <v>7</v>
      </c>
      <c r="AN16" s="74">
        <f>INDEX($N$11:$R$19,MATCH("DD",$M$11:$M$19,0),MATCH(AN$5,$N$10:$R$10,0))</f>
        <v>8</v>
      </c>
      <c r="AO16" s="74">
        <f>$R$20-R$19-R14</f>
        <v>37</v>
      </c>
      <c r="AP16" s="74">
        <f>AR16*$AD$43</f>
        <v>3480960</v>
      </c>
      <c r="AQ16" s="74">
        <f t="shared" si="0"/>
        <v>87024</v>
      </c>
      <c r="AR16" s="75">
        <f>IF(AJ16&gt;W16,AJ16,W16)*(AQ16/$AD$43)</f>
        <v>1.1139072E-2</v>
      </c>
    </row>
    <row r="17" spans="1:45" ht="14.45" customHeight="1">
      <c r="A17" s="37" t="s">
        <v>40</v>
      </c>
      <c r="B17" s="37" t="s">
        <v>40</v>
      </c>
      <c r="C17" s="37" t="s">
        <v>40</v>
      </c>
      <c r="D17" s="37" t="s">
        <v>35</v>
      </c>
      <c r="E17" s="37" t="s">
        <v>35</v>
      </c>
      <c r="G17" s="37" t="s">
        <v>29</v>
      </c>
      <c r="H17" s="37" t="s">
        <v>27</v>
      </c>
      <c r="I17" s="37" t="s">
        <v>37</v>
      </c>
      <c r="J17" s="37" t="s">
        <v>35</v>
      </c>
      <c r="K17" s="37" t="s">
        <v>35</v>
      </c>
      <c r="L17" s="34"/>
      <c r="M17" s="41" t="s">
        <v>35</v>
      </c>
      <c r="N17">
        <f>COUNTIF(G$1:G$899,$M17)</f>
        <v>11</v>
      </c>
      <c r="O17">
        <f>COUNTIF(H$1:H$899,$M17)</f>
        <v>9</v>
      </c>
      <c r="P17">
        <f>COUNTIF(I$1:I$899,$M17)</f>
        <v>9</v>
      </c>
      <c r="Q17">
        <f>COUNTIF(J$1:J$899,$M17)</f>
        <v>8</v>
      </c>
      <c r="R17">
        <f>COUNTIF(K$1:K$899,$M17)</f>
        <v>7</v>
      </c>
      <c r="U17" s="73" t="s">
        <v>29</v>
      </c>
      <c r="V17" s="73">
        <v>3</v>
      </c>
      <c r="W17" s="20">
        <f>'Game Description'!C18</f>
        <v>5</v>
      </c>
      <c r="X17" s="74">
        <f>INDEX($N$11:$R$19,MATCH($U17,$M$11:$M$18,0),MATCH(X$5,$N$10:$R$10,0))+N$19</f>
        <v>12</v>
      </c>
      <c r="Y17" s="74">
        <f>INDEX($N$11:$R$19,MATCH($U17,$M$11:$M$18,0),MATCH(Y$5,$N$10:$R$10,0))+O$19</f>
        <v>13</v>
      </c>
      <c r="Z17" s="74">
        <f>INDEX($N$11:$R$19,MATCH($U17,$M$11:$M$18,0),MATCH(Z$5,$N$10:$R$10,0))+P$19</f>
        <v>14</v>
      </c>
      <c r="AA17" s="74">
        <f>Q$20-(Q$19+INDEX($N$11:$R$19,MATCH($U17,$M$11:$M$18,0),MATCH(AA$5,$N$10:$R$10,0)))</f>
        <v>35</v>
      </c>
      <c r="AB17" s="74">
        <f t="shared" ref="AB17" si="5">$R$20</f>
        <v>50</v>
      </c>
      <c r="AC17" s="74">
        <f t="shared" si="1"/>
        <v>16537500</v>
      </c>
      <c r="AD17" s="74">
        <f>PRODUCT(X17:AB17)- PRODUCT($N$19:$P$19)*AA17*AB17</f>
        <v>3307500</v>
      </c>
      <c r="AE17" s="75">
        <f>(AD17/$AD$43)*W17</f>
        <v>5.2919999999999995E-2</v>
      </c>
      <c r="AG17" s="73" t="s">
        <v>37</v>
      </c>
      <c r="AH17" s="73" t="s">
        <v>29</v>
      </c>
      <c r="AI17" s="73">
        <v>3</v>
      </c>
      <c r="AJ17" s="20">
        <f>'Game Description'!$C$22</f>
        <v>40</v>
      </c>
      <c r="AK17" s="74">
        <f>INDEX($N$11:$R$19,MATCH($AG17,$M$11:$M$19,0),MATCH(X$5,$N$10:$R$10,0))</f>
        <v>6</v>
      </c>
      <c r="AL17" s="74">
        <f>INDEX($N$11:$R$19,MATCH($AG17,$M$11:$M$19,0),MATCH(Y$5,$N$10:$R$10,0))</f>
        <v>7</v>
      </c>
      <c r="AM17" s="74">
        <f>INDEX($N$11:$R$19,MATCH($AG17,$M$11:$M$19,0),MATCH(Z$5,$N$10:$R$10,0))</f>
        <v>7</v>
      </c>
      <c r="AN17" s="74">
        <f>INDEX($N$11:$R$19,MATCH("DD",$M$11:$M$19,0),MATCH(AN$5,$N$10:$R$10,0))</f>
        <v>8</v>
      </c>
      <c r="AO17" s="74">
        <f>R14</f>
        <v>7</v>
      </c>
      <c r="AP17" s="74">
        <f>AR17*$AD$43</f>
        <v>1646400</v>
      </c>
      <c r="AQ17" s="74">
        <f t="shared" si="0"/>
        <v>16464</v>
      </c>
      <c r="AR17" s="75">
        <f>IF(AJ17&gt;W15,AJ17,W15)*(AQ17/$AD$43)</f>
        <v>5.2684799999999999E-3</v>
      </c>
      <c r="AS17" s="78"/>
    </row>
    <row r="18" spans="1:45" ht="14.45" customHeight="1">
      <c r="A18" s="37" t="s">
        <v>35</v>
      </c>
      <c r="B18" s="37" t="s">
        <v>25</v>
      </c>
      <c r="C18" s="37" t="s">
        <v>35</v>
      </c>
      <c r="D18" s="37" t="s">
        <v>33</v>
      </c>
      <c r="E18" s="37" t="s">
        <v>35</v>
      </c>
      <c r="G18" s="37" t="s">
        <v>29</v>
      </c>
      <c r="H18" s="37" t="s">
        <v>29</v>
      </c>
      <c r="I18" s="37" t="s">
        <v>27</v>
      </c>
      <c r="J18" s="37" t="s">
        <v>33</v>
      </c>
      <c r="K18" s="37" t="s">
        <v>35</v>
      </c>
      <c r="L18" s="34"/>
      <c r="M18" s="45" t="s">
        <v>40</v>
      </c>
      <c r="N18">
        <f>COUNTIF(G$1:G$899,$M18)</f>
        <v>1</v>
      </c>
      <c r="O18">
        <f>COUNTIF(H$1:H$899,$M18)</f>
        <v>1</v>
      </c>
      <c r="P18">
        <f>COUNTIF(I$1:I$899,$M18)</f>
        <v>2</v>
      </c>
      <c r="Q18">
        <f>COUNTIF(J$1:J$899,$M18)</f>
        <v>2</v>
      </c>
      <c r="R18">
        <f>COUNTIF(K$1:K$899,$M18)</f>
        <v>1</v>
      </c>
      <c r="U18" s="73" t="s">
        <v>31</v>
      </c>
      <c r="V18" s="73">
        <v>5</v>
      </c>
      <c r="W18" s="20">
        <f>'Game Description'!E19</f>
        <v>100</v>
      </c>
      <c r="X18" s="74">
        <f>INDEX($N$11:$R$19,MATCH($U18,$M$11:$M$18,0),MATCH(X$5,$N$10:$R$10,0))+N$19</f>
        <v>13</v>
      </c>
      <c r="Y18" s="74">
        <f>INDEX($N$11:$R$19,MATCH($U18,$M$11:$M$18,0),MATCH(Y$5,$N$10:$R$10,0))+O$19</f>
        <v>13</v>
      </c>
      <c r="Z18" s="74">
        <f>INDEX($N$11:$R$19,MATCH($U18,$M$11:$M$18,0),MATCH(Z$5,$N$10:$R$10,0))+P$19</f>
        <v>13</v>
      </c>
      <c r="AA18" s="74">
        <f>INDEX($N$11:$R$19,MATCH($U18,$M$11:$M$18,0),MATCH(AA$5,$N$10:$R$10,0))+Q$19</f>
        <v>13</v>
      </c>
      <c r="AB18" s="74">
        <f>INDEX($N$11:$R$19,MATCH($U18,$M$11:$M$18,0),MATCH(AB$5,$N$10:$R$10,0))+R$19</f>
        <v>13</v>
      </c>
      <c r="AC18" s="74">
        <f t="shared" si="1"/>
        <v>33219100</v>
      </c>
      <c r="AD18" s="74">
        <f>PRODUCT(X18:AB18)-AQ18-AQ20-AQ27</f>
        <v>332191</v>
      </c>
      <c r="AE18" s="75">
        <f>(AD18/$AD$43)*W18</f>
        <v>0.10630112</v>
      </c>
      <c r="AF18" s="78">
        <f t="shared" ref="AF18" si="6">SUM(AE15:AE17)</f>
        <v>0.24250464000000002</v>
      </c>
      <c r="AG18" s="73" t="s">
        <v>37</v>
      </c>
      <c r="AH18" s="73" t="s">
        <v>31</v>
      </c>
      <c r="AI18" s="73">
        <v>4</v>
      </c>
      <c r="AJ18" s="20">
        <f>'Game Description'!$D$22</f>
        <v>400</v>
      </c>
      <c r="AK18" s="74">
        <f>INDEX($N$11:$R$19,MATCH($AG18,$M$11:$M$19,0),MATCH(X$5,$N$10:$R$10,0))</f>
        <v>6</v>
      </c>
      <c r="AL18" s="74">
        <f>INDEX($N$11:$R$19,MATCH($AG18,$M$11:$M$19,0),MATCH(Y$5,$N$10:$R$10,0))</f>
        <v>7</v>
      </c>
      <c r="AM18" s="74">
        <f>INDEX($N$11:$R$19,MATCH($AG18,$M$11:$M$19,0),MATCH(Z$5,$N$10:$R$10,0))</f>
        <v>7</v>
      </c>
      <c r="AN18" s="74">
        <f>INDEX($N$11:$R$19,MATCH($AG18,$M$11:$M$19,0),MATCH(AA$5,$N$10:$R$10,0))</f>
        <v>7</v>
      </c>
      <c r="AO18" s="74">
        <f>INDEX($N$11:$R$19,MATCH("EE",$M$11:$M$19,0),MATCH(AO$5,$N$10:$R$10,0))</f>
        <v>7</v>
      </c>
      <c r="AP18" s="74">
        <f>AR18*$AD$43</f>
        <v>5762400</v>
      </c>
      <c r="AQ18" s="74">
        <f t="shared" si="0"/>
        <v>14406</v>
      </c>
      <c r="AR18" s="75">
        <f>IF(AJ18&gt;W18,AJ18,W18)*(AQ18/$AD$43)</f>
        <v>1.843968E-2</v>
      </c>
    </row>
    <row r="19" spans="1:45" ht="14.45" customHeight="1">
      <c r="A19" s="37" t="s">
        <v>23</v>
      </c>
      <c r="B19" s="37" t="s">
        <v>25</v>
      </c>
      <c r="C19" s="37" t="s">
        <v>23</v>
      </c>
      <c r="D19" s="85" t="s">
        <v>23</v>
      </c>
      <c r="E19" s="37" t="s">
        <v>35</v>
      </c>
      <c r="G19" s="37" t="s">
        <v>33</v>
      </c>
      <c r="H19" s="37" t="s">
        <v>23</v>
      </c>
      <c r="I19" s="37" t="s">
        <v>35</v>
      </c>
      <c r="J19" s="45" t="s">
        <v>40</v>
      </c>
      <c r="K19" s="37" t="s">
        <v>37</v>
      </c>
      <c r="L19" s="34"/>
      <c r="M19" s="44" t="s">
        <v>37</v>
      </c>
      <c r="N19">
        <f>COUNTIF(G$1:G$899,$M19)</f>
        <v>6</v>
      </c>
      <c r="O19">
        <f>COUNTIF(H$1:H$899,$M19)</f>
        <v>7</v>
      </c>
      <c r="P19">
        <f>COUNTIF(I$1:I$899,$M19)</f>
        <v>7</v>
      </c>
      <c r="Q19">
        <f>COUNTIF(J$1:J$899,$M19)</f>
        <v>7</v>
      </c>
      <c r="R19">
        <f>COUNTIF(K$1:K$899,$M19)</f>
        <v>6</v>
      </c>
      <c r="U19" s="73" t="s">
        <v>31</v>
      </c>
      <c r="V19" s="73">
        <v>4</v>
      </c>
      <c r="W19" s="20">
        <f>'Game Description'!D19</f>
        <v>20</v>
      </c>
      <c r="X19" s="74">
        <f>INDEX($N$11:$R$19,MATCH($U19,$M$11:$M$18,0),MATCH(X$5,$N$10:$R$10,0))+N$19</f>
        <v>13</v>
      </c>
      <c r="Y19" s="74">
        <f>INDEX($N$11:$R$19,MATCH($U19,$M$11:$M$18,0),MATCH(Y$5,$N$10:$R$10,0))+O$19</f>
        <v>13</v>
      </c>
      <c r="Z19" s="74">
        <f>INDEX($N$11:$R$19,MATCH($U19,$M$11:$M$18,0),MATCH(Z$5,$N$10:$R$10,0))+P$19</f>
        <v>13</v>
      </c>
      <c r="AA19" s="74">
        <f>INDEX($N$11:$R$19,MATCH($U19,$M$11:$M$18,0),MATCH(AA$5,$N$10:$R$10,0))+Q$19</f>
        <v>13</v>
      </c>
      <c r="AB19" s="74">
        <f>R$20-(R$19+INDEX($N$11:$R$19,MATCH($U19,$M$11:$M$17,0),MATCH(AB$5,$N$10:$R$10,0)))</f>
        <v>37</v>
      </c>
      <c r="AC19" s="74">
        <f t="shared" si="1"/>
        <v>18306860</v>
      </c>
      <c r="AD19" s="74">
        <f>PRODUCT(X19:AB19)-PRODUCT($N$19:$Q$19)*$AB19-$AQ19</f>
        <v>915343</v>
      </c>
      <c r="AE19" s="75">
        <f>(AD19/$AD$43)*W19</f>
        <v>5.8581952E-2</v>
      </c>
      <c r="AG19" s="73" t="s">
        <v>37</v>
      </c>
      <c r="AH19" s="73" t="s">
        <v>31</v>
      </c>
      <c r="AI19" s="73">
        <v>3</v>
      </c>
      <c r="AJ19" s="20">
        <f>'Game Description'!$C$22</f>
        <v>40</v>
      </c>
      <c r="AK19" s="74">
        <f>INDEX($N$11:$R$19,MATCH($AG19,$M$11:$M$19,0),MATCH(X$5,$N$10:$R$10,0))</f>
        <v>6</v>
      </c>
      <c r="AL19" s="74">
        <f>INDEX($N$11:$R$19,MATCH($AG19,$M$11:$M$19,0),MATCH(Y$5,$N$10:$R$10,0))</f>
        <v>7</v>
      </c>
      <c r="AM19" s="74">
        <f>INDEX($N$11:$R$19,MATCH($AG19,$M$11:$M$19,0),MATCH(Z$5,$N$10:$R$10,0))</f>
        <v>7</v>
      </c>
      <c r="AN19" s="74">
        <f>INDEX($N$11:$R$19,MATCH("EE",$M$11:$M$19,0),MATCH(AN$5,$N$10:$R$10,0))</f>
        <v>6</v>
      </c>
      <c r="AO19" s="74">
        <f>$R$20-R$19-R15</f>
        <v>37</v>
      </c>
      <c r="AP19" s="74">
        <f>AR19*$AD$43</f>
        <v>2610720</v>
      </c>
      <c r="AQ19" s="74">
        <f t="shared" si="0"/>
        <v>65268</v>
      </c>
      <c r="AR19" s="75">
        <f>IF(AJ19&gt;W19,AJ19,W19)*(AQ19/$AD$43)</f>
        <v>8.3543039999999999E-3</v>
      </c>
    </row>
    <row r="20" spans="1:45" ht="14.45" customHeight="1">
      <c r="A20" s="37" t="s">
        <v>40</v>
      </c>
      <c r="B20" s="37" t="s">
        <v>40</v>
      </c>
      <c r="C20" s="37" t="s">
        <v>40</v>
      </c>
      <c r="D20" s="37" t="s">
        <v>29</v>
      </c>
      <c r="E20" s="37" t="s">
        <v>23</v>
      </c>
      <c r="G20" s="37" t="s">
        <v>40</v>
      </c>
      <c r="H20" s="37" t="s">
        <v>23</v>
      </c>
      <c r="I20" s="37" t="s">
        <v>31</v>
      </c>
      <c r="J20" s="37" t="s">
        <v>29</v>
      </c>
      <c r="K20" s="37" t="s">
        <v>37</v>
      </c>
      <c r="L20" s="34"/>
      <c r="M20" t="s">
        <v>67</v>
      </c>
      <c r="N20">
        <f>SUM(N11:N19)</f>
        <v>50</v>
      </c>
      <c r="O20">
        <f t="shared" ref="O20:R20" si="7">SUM(O11:O19)</f>
        <v>50</v>
      </c>
      <c r="P20">
        <f t="shared" si="7"/>
        <v>50</v>
      </c>
      <c r="Q20">
        <f t="shared" si="7"/>
        <v>50</v>
      </c>
      <c r="R20">
        <f t="shared" si="7"/>
        <v>50</v>
      </c>
      <c r="U20" s="73" t="s">
        <v>31</v>
      </c>
      <c r="V20" s="73">
        <v>3</v>
      </c>
      <c r="W20" s="20">
        <f>'Game Description'!C19</f>
        <v>5</v>
      </c>
      <c r="X20" s="74">
        <f>INDEX($N$11:$R$19,MATCH($U20,$M$11:$M$18,0),MATCH(X$5,$N$10:$R$10,0))+N$19</f>
        <v>13</v>
      </c>
      <c r="Y20" s="74">
        <f>INDEX($N$11:$R$19,MATCH($U20,$M$11:$M$18,0),MATCH(Y$5,$N$10:$R$10,0))+O$19</f>
        <v>13</v>
      </c>
      <c r="Z20" s="74">
        <f>INDEX($N$11:$R$19,MATCH($U20,$M$11:$M$18,0),MATCH(Z$5,$N$10:$R$10,0))+P$19</f>
        <v>13</v>
      </c>
      <c r="AA20" s="74">
        <f>Q$20-(Q$19+INDEX($N$11:$R$19,MATCH($U20,$M$11:$M$18,0),MATCH(AA$5,$N$10:$R$10,0)))</f>
        <v>37</v>
      </c>
      <c r="AB20" s="74">
        <f t="shared" ref="AB20" si="8">$R$20</f>
        <v>50</v>
      </c>
      <c r="AC20" s="74">
        <f t="shared" si="1"/>
        <v>17602750</v>
      </c>
      <c r="AD20" s="74">
        <f>PRODUCT(X20:AB20)- PRODUCT($N$19:$P$19)*AA20*AB20</f>
        <v>3520550</v>
      </c>
      <c r="AE20" s="75">
        <f>(AD20/$AD$43)*W20</f>
        <v>5.6328799999999998E-2</v>
      </c>
      <c r="AG20" s="73" t="s">
        <v>37</v>
      </c>
      <c r="AH20" s="73" t="s">
        <v>31</v>
      </c>
      <c r="AI20" s="73">
        <v>3</v>
      </c>
      <c r="AJ20" s="20">
        <f>'Game Description'!$C$22</f>
        <v>40</v>
      </c>
      <c r="AK20" s="74">
        <f>INDEX($N$11:$R$19,MATCH($AG20,$M$11:$M$19,0),MATCH(X$5,$N$10:$R$10,0))</f>
        <v>6</v>
      </c>
      <c r="AL20" s="74">
        <f>INDEX($N$11:$R$19,MATCH($AG20,$M$11:$M$19,0),MATCH(Y$5,$N$10:$R$10,0))</f>
        <v>7</v>
      </c>
      <c r="AM20" s="74">
        <f>INDEX($N$11:$R$19,MATCH($AG20,$M$11:$M$19,0),MATCH(Z$5,$N$10:$R$10,0))</f>
        <v>7</v>
      </c>
      <c r="AN20" s="74">
        <f>INDEX($N$11:$R$19,MATCH("EE",$M$11:$M$19,0),MATCH(AN$5,$N$10:$R$10,0))</f>
        <v>6</v>
      </c>
      <c r="AO20" s="74">
        <f>R15</f>
        <v>7</v>
      </c>
      <c r="AP20" s="74">
        <f>AR20*$AD$43</f>
        <v>1234800</v>
      </c>
      <c r="AQ20" s="74">
        <f t="shared" si="0"/>
        <v>12348</v>
      </c>
      <c r="AR20" s="75">
        <f>IF(AJ20&gt;W18,AJ20,W18)*(AQ20/$AD$43)</f>
        <v>3.9513600000000001E-3</v>
      </c>
      <c r="AS20" s="78"/>
    </row>
    <row r="21" spans="1:45" ht="14.45" customHeight="1">
      <c r="A21" s="37" t="s">
        <v>27</v>
      </c>
      <c r="B21" s="37" t="s">
        <v>29</v>
      </c>
      <c r="C21" s="37" t="s">
        <v>27</v>
      </c>
      <c r="D21" s="37" t="s">
        <v>29</v>
      </c>
      <c r="E21" s="37" t="s">
        <v>35</v>
      </c>
      <c r="G21" s="37" t="s">
        <v>27</v>
      </c>
      <c r="H21" s="37" t="s">
        <v>23</v>
      </c>
      <c r="I21" s="37" t="s">
        <v>35</v>
      </c>
      <c r="J21" s="37" t="s">
        <v>29</v>
      </c>
      <c r="K21" s="37" t="s">
        <v>35</v>
      </c>
      <c r="L21" s="34"/>
      <c r="M21"/>
      <c r="U21" s="73" t="s">
        <v>33</v>
      </c>
      <c r="V21" s="73">
        <v>5</v>
      </c>
      <c r="W21" s="20">
        <f>'Game Description'!E20</f>
        <v>50</v>
      </c>
      <c r="X21" s="74">
        <f>INDEX($N$11:$R$19,MATCH($U21,$M$11:$M$18,0),MATCH(X$5,$N$10:$R$10,0))+N$19</f>
        <v>15</v>
      </c>
      <c r="Y21" s="74">
        <f>INDEX($N$11:$R$19,MATCH($U21,$M$11:$M$18,0),MATCH(Y$5,$N$10:$R$10,0))+O$19</f>
        <v>15</v>
      </c>
      <c r="Z21" s="74">
        <f>INDEX($N$11:$R$19,MATCH($U21,$M$11:$M$18,0),MATCH(Z$5,$N$10:$R$10,0))+P$19</f>
        <v>16</v>
      </c>
      <c r="AA21" s="74">
        <f>INDEX($N$11:$R$19,MATCH($U21,$M$11:$M$18,0),MATCH(AA$5,$N$10:$R$10,0))+Q$19</f>
        <v>14</v>
      </c>
      <c r="AB21" s="74">
        <f>INDEX($N$11:$R$19,MATCH($U21,$M$11:$M$18,0),MATCH(AB$5,$N$10:$R$10,0))+R$19</f>
        <v>15</v>
      </c>
      <c r="AC21" s="74">
        <f t="shared" si="1"/>
        <v>35330400</v>
      </c>
      <c r="AD21" s="74">
        <f>PRODUCT(X21:AB21)-AQ21-AQ23-AQ27</f>
        <v>706608</v>
      </c>
      <c r="AE21" s="75">
        <f>(AD21/$AD$43)*W21</f>
        <v>0.11305728000000001</v>
      </c>
      <c r="AF21" s="78">
        <f>SUM(AE18:AE20)</f>
        <v>0.22121187199999998</v>
      </c>
      <c r="AG21" s="73" t="s">
        <v>37</v>
      </c>
      <c r="AH21" s="73" t="s">
        <v>33</v>
      </c>
      <c r="AI21" s="73">
        <v>4</v>
      </c>
      <c r="AJ21" s="20">
        <f>'Game Description'!$D$22</f>
        <v>400</v>
      </c>
      <c r="AK21" s="74">
        <f>INDEX($N$11:$R$19,MATCH($AG21,$M$11:$M$19,0),MATCH(X$5,$N$10:$R$10,0))</f>
        <v>6</v>
      </c>
      <c r="AL21" s="74">
        <f>INDEX($N$11:$R$19,MATCH($AG21,$M$11:$M$19,0),MATCH(Y$5,$N$10:$R$10,0))</f>
        <v>7</v>
      </c>
      <c r="AM21" s="74">
        <f>INDEX($N$11:$R$19,MATCH($AG21,$M$11:$M$19,0),MATCH(Z$5,$N$10:$R$10,0))</f>
        <v>7</v>
      </c>
      <c r="AN21" s="74">
        <f>INDEX($N$11:$R$19,MATCH($AG21,$M$11:$M$19,0),MATCH(AA$5,$N$10:$R$10,0))</f>
        <v>7</v>
      </c>
      <c r="AO21" s="74">
        <f>INDEX($N$11:$R$19,MATCH("FF",$M$11:$M$19,0),MATCH(AO$5,$N$10:$R$10,0))</f>
        <v>9</v>
      </c>
      <c r="AP21" s="74">
        <f>AR21*$AD$43</f>
        <v>7408800</v>
      </c>
      <c r="AQ21" s="74">
        <f t="shared" si="0"/>
        <v>18522</v>
      </c>
      <c r="AR21" s="75">
        <f>IF(AJ21&gt;W21,AJ21,W21)*(AQ21/$AD$43)</f>
        <v>2.3708159999999999E-2</v>
      </c>
    </row>
    <row r="22" spans="1:45" ht="14.45" customHeight="1">
      <c r="A22" s="37" t="s">
        <v>31</v>
      </c>
      <c r="B22" s="37" t="s">
        <v>33</v>
      </c>
      <c r="C22" s="37" t="s">
        <v>31</v>
      </c>
      <c r="D22" s="37" t="s">
        <v>29</v>
      </c>
      <c r="E22" s="37" t="s">
        <v>35</v>
      </c>
      <c r="G22" s="37" t="s">
        <v>27</v>
      </c>
      <c r="H22" s="37" t="s">
        <v>27</v>
      </c>
      <c r="I22" s="37" t="s">
        <v>25</v>
      </c>
      <c r="J22" s="37" t="s">
        <v>29</v>
      </c>
      <c r="K22" s="37" t="s">
        <v>35</v>
      </c>
      <c r="L22" s="34"/>
      <c r="M22" s="34"/>
      <c r="N22" s="34"/>
      <c r="O22" s="34"/>
      <c r="U22" s="73" t="s">
        <v>33</v>
      </c>
      <c r="V22" s="73">
        <v>4</v>
      </c>
      <c r="W22" s="20">
        <f>'Game Description'!D20</f>
        <v>10</v>
      </c>
      <c r="X22" s="74">
        <f>INDEX($N$11:$R$19,MATCH($U22,$M$11:$M$18,0),MATCH(X$5,$N$10:$R$10,0))+N$19</f>
        <v>15</v>
      </c>
      <c r="Y22" s="74">
        <f>INDEX($N$11:$R$19,MATCH($U22,$M$11:$M$18,0),MATCH(Y$5,$N$10:$R$10,0))+O$19</f>
        <v>15</v>
      </c>
      <c r="Z22" s="74">
        <f>INDEX($N$11:$R$19,MATCH($U22,$M$11:$M$18,0),MATCH(Z$5,$N$10:$R$10,0))+P$19</f>
        <v>16</v>
      </c>
      <c r="AA22" s="74">
        <f>INDEX($N$11:$R$19,MATCH($U22,$M$11:$M$18,0),MATCH(AA$5,$N$10:$R$10,0))+Q$19</f>
        <v>14</v>
      </c>
      <c r="AB22" s="74">
        <f>R$20-(R$19+INDEX($N$11:$R$19,MATCH($U22,$M$11:$M$17,0),MATCH(AB$5,$N$10:$R$10,0)))</f>
        <v>35</v>
      </c>
      <c r="AC22" s="74">
        <f t="shared" si="1"/>
        <v>16199400</v>
      </c>
      <c r="AD22" s="74">
        <f>PRODUCT(X22:AB22)-PRODUCT($N$19:$Q$19)*$AB22-$AQ22</f>
        <v>1619940</v>
      </c>
      <c r="AE22" s="75">
        <f>(AD22/$AD$43)*W22</f>
        <v>5.1838079999999995E-2</v>
      </c>
      <c r="AG22" s="73" t="s">
        <v>37</v>
      </c>
      <c r="AH22" s="73" t="s">
        <v>33</v>
      </c>
      <c r="AI22" s="73">
        <v>3</v>
      </c>
      <c r="AJ22" s="20">
        <f>'Game Description'!$C$22</f>
        <v>40</v>
      </c>
      <c r="AK22" s="74">
        <f>INDEX($N$11:$R$19,MATCH($AG22,$M$11:$M$19,0),MATCH(X$5,$N$10:$R$10,0))</f>
        <v>6</v>
      </c>
      <c r="AL22" s="74">
        <f>INDEX($N$11:$R$19,MATCH($AG22,$M$11:$M$19,0),MATCH(Y$5,$N$10:$R$10,0))</f>
        <v>7</v>
      </c>
      <c r="AM22" s="74">
        <f>INDEX($N$11:$R$19,MATCH($AG22,$M$11:$M$19,0),MATCH(Z$5,$N$10:$R$10,0))</f>
        <v>7</v>
      </c>
      <c r="AN22" s="74">
        <f>INDEX($N$11:$R$19,MATCH("FF",$M$11:$M$19,0),MATCH(AN$5,$N$10:$R$10,0))</f>
        <v>7</v>
      </c>
      <c r="AO22" s="74">
        <f>$R$20-R$19-R16</f>
        <v>35</v>
      </c>
      <c r="AP22" s="74">
        <f>AR22*$AD$43</f>
        <v>2881200</v>
      </c>
      <c r="AQ22" s="74">
        <f t="shared" si="0"/>
        <v>72030</v>
      </c>
      <c r="AR22" s="75">
        <f>IF(AJ22&gt;W22,AJ22,W22)*(AQ22/$AD$43)</f>
        <v>9.21984E-3</v>
      </c>
    </row>
    <row r="23" spans="1:45" ht="14.45" customHeight="1">
      <c r="A23" s="37" t="s">
        <v>40</v>
      </c>
      <c r="B23" s="37" t="s">
        <v>40</v>
      </c>
      <c r="C23" s="37" t="s">
        <v>40</v>
      </c>
      <c r="D23" s="37" t="s">
        <v>23</v>
      </c>
      <c r="E23" s="45" t="s">
        <v>40</v>
      </c>
      <c r="G23" s="37" t="s">
        <v>27</v>
      </c>
      <c r="H23" s="37" t="s">
        <v>27</v>
      </c>
      <c r="I23" s="37" t="s">
        <v>40</v>
      </c>
      <c r="J23" s="37" t="s">
        <v>23</v>
      </c>
      <c r="K23" s="45" t="s">
        <v>35</v>
      </c>
      <c r="L23" s="34"/>
      <c r="M23" s="33" t="s">
        <v>89</v>
      </c>
      <c r="N23" s="33" t="s">
        <v>42</v>
      </c>
      <c r="O23" s="33" t="s">
        <v>43</v>
      </c>
      <c r="P23" s="33" t="s">
        <v>44</v>
      </c>
      <c r="Q23" s="33" t="s">
        <v>45</v>
      </c>
      <c r="R23" s="33" t="s">
        <v>46</v>
      </c>
      <c r="U23" s="73" t="s">
        <v>33</v>
      </c>
      <c r="V23" s="73">
        <v>3</v>
      </c>
      <c r="W23" s="20">
        <f>'Game Description'!C20</f>
        <v>1</v>
      </c>
      <c r="X23" s="74">
        <f>INDEX($N$11:$R$19,MATCH($U23,$M$11:$M$18,0),MATCH(X$5,$N$10:$R$10,0))+N$19</f>
        <v>15</v>
      </c>
      <c r="Y23" s="74">
        <f>INDEX($N$11:$R$19,MATCH($U23,$M$11:$M$18,0),MATCH(Y$5,$N$10:$R$10,0))+O$19</f>
        <v>15</v>
      </c>
      <c r="Z23" s="74">
        <f>INDEX($N$11:$R$19,MATCH($U23,$M$11:$M$18,0),MATCH(Z$5,$N$10:$R$10,0))+P$19</f>
        <v>16</v>
      </c>
      <c r="AA23" s="74">
        <f>Q$20-(Q$19+INDEX($N$11:$R$19,MATCH($U23,$M$11:$M$18,0),MATCH(AA$5,$N$10:$R$10,0)))</f>
        <v>36</v>
      </c>
      <c r="AB23" s="74">
        <f t="shared" ref="AB23" si="9">$R$20</f>
        <v>50</v>
      </c>
      <c r="AC23" s="74">
        <f t="shared" si="1"/>
        <v>5950800</v>
      </c>
      <c r="AD23" s="74">
        <f>PRODUCT(X23:AB23)- PRODUCT($N$19:$P$19)*AA23*AB23</f>
        <v>5950800</v>
      </c>
      <c r="AE23" s="75">
        <f>(AD23/$AD$43)*W23</f>
        <v>1.904256E-2</v>
      </c>
      <c r="AG23" s="73" t="s">
        <v>37</v>
      </c>
      <c r="AH23" s="73" t="s">
        <v>33</v>
      </c>
      <c r="AI23" s="73">
        <v>3</v>
      </c>
      <c r="AJ23" s="20">
        <f>'Game Description'!$C$22</f>
        <v>40</v>
      </c>
      <c r="AK23" s="74">
        <f>INDEX($N$11:$R$19,MATCH($AG23,$M$11:$M$19,0),MATCH(X$5,$N$10:$R$10,0))</f>
        <v>6</v>
      </c>
      <c r="AL23" s="74">
        <f>INDEX($N$11:$R$19,MATCH($AG23,$M$11:$M$19,0),MATCH(Y$5,$N$10:$R$10,0))</f>
        <v>7</v>
      </c>
      <c r="AM23" s="74">
        <f>INDEX($N$11:$R$19,MATCH($AG23,$M$11:$M$19,0),MATCH(Z$5,$N$10:$R$10,0))</f>
        <v>7</v>
      </c>
      <c r="AN23" s="74">
        <f>INDEX($N$11:$R$19,MATCH("FF",$M$11:$M$19,0),MATCH(AN$5,$N$10:$R$10,0))</f>
        <v>7</v>
      </c>
      <c r="AO23" s="74">
        <f>R16</f>
        <v>9</v>
      </c>
      <c r="AP23" s="74">
        <f>AR23*$AD$43</f>
        <v>926100</v>
      </c>
      <c r="AQ23" s="74">
        <f t="shared" si="0"/>
        <v>18522</v>
      </c>
      <c r="AR23" s="75">
        <f>IF(AJ23&gt;W21,AJ23,W21)*(AQ23/$AD$43)</f>
        <v>2.9635199999999999E-3</v>
      </c>
      <c r="AS23" s="78"/>
    </row>
    <row r="24" spans="1:45" ht="14.45" customHeight="1">
      <c r="A24" s="37" t="s">
        <v>27</v>
      </c>
      <c r="B24" s="37" t="s">
        <v>29</v>
      </c>
      <c r="C24" s="37" t="s">
        <v>27</v>
      </c>
      <c r="D24" s="37" t="s">
        <v>25</v>
      </c>
      <c r="E24" s="37" t="s">
        <v>29</v>
      </c>
      <c r="G24" s="37" t="s">
        <v>31</v>
      </c>
      <c r="H24" s="37" t="s">
        <v>33</v>
      </c>
      <c r="I24" s="37" t="s">
        <v>35</v>
      </c>
      <c r="J24" s="37" t="s">
        <v>25</v>
      </c>
      <c r="K24" s="37" t="s">
        <v>29</v>
      </c>
      <c r="L24" s="34"/>
      <c r="M24" s="2" t="s">
        <v>23</v>
      </c>
      <c r="N24">
        <f>COUNTIF(A$1:A$899,$M24)</f>
        <v>5</v>
      </c>
      <c r="O24">
        <f t="shared" ref="O24:R24" si="10">COUNTIF(B$1:B$899,$M24)</f>
        <v>0</v>
      </c>
      <c r="P24">
        <f t="shared" si="10"/>
        <v>5</v>
      </c>
      <c r="Q24">
        <f t="shared" si="10"/>
        <v>3</v>
      </c>
      <c r="R24">
        <f t="shared" si="10"/>
        <v>3</v>
      </c>
      <c r="U24" s="73" t="s">
        <v>35</v>
      </c>
      <c r="V24" s="73">
        <v>5</v>
      </c>
      <c r="W24" s="20">
        <f>'Game Description'!E21</f>
        <v>50</v>
      </c>
      <c r="X24" s="74">
        <f>INDEX($N$11:$R$19,MATCH($U24,$M$11:$M$18,0),MATCH(X$5,$N$10:$R$10,0))+N$19</f>
        <v>17</v>
      </c>
      <c r="Y24" s="74">
        <f>INDEX($N$11:$R$19,MATCH($U24,$M$11:$M$18,0),MATCH(Y$5,$N$10:$R$10,0))+O$19</f>
        <v>16</v>
      </c>
      <c r="Z24" s="74">
        <f>INDEX($N$11:$R$19,MATCH($U24,$M$11:$M$18,0),MATCH(Z$5,$N$10:$R$10,0))+P$19</f>
        <v>16</v>
      </c>
      <c r="AA24" s="74">
        <f>INDEX($N$11:$R$19,MATCH($U24,$M$11:$M$18,0),MATCH(AA$5,$N$10:$R$10,0))+Q$19</f>
        <v>15</v>
      </c>
      <c r="AB24" s="74">
        <f>INDEX($N$11:$R$19,MATCH($U24,$M$11:$M$18,0),MATCH(AB$5,$N$10:$R$10,0))+R$19</f>
        <v>13</v>
      </c>
      <c r="AC24" s="74">
        <f t="shared" si="1"/>
        <v>40271100</v>
      </c>
      <c r="AD24" s="74">
        <f>PRODUCT(X24:AB24)-AQ24-AQ26-AQ27</f>
        <v>805422</v>
      </c>
      <c r="AE24" s="75">
        <f>(AD24/$AD$43)*W24</f>
        <v>0.12886752000000001</v>
      </c>
      <c r="AF24" s="78">
        <f t="shared" ref="AF24" si="11">SUM(AE21:AE23)</f>
        <v>0.18393791999999998</v>
      </c>
      <c r="AG24" s="73" t="s">
        <v>37</v>
      </c>
      <c r="AH24" s="73" t="s">
        <v>35</v>
      </c>
      <c r="AI24" s="73">
        <v>4</v>
      </c>
      <c r="AJ24" s="20">
        <f>'Game Description'!$D$22</f>
        <v>400</v>
      </c>
      <c r="AK24" s="74">
        <f>INDEX($N$11:$R$19,MATCH($AG24,$M$11:$M$19,0),MATCH(X$5,$N$10:$R$10,0))</f>
        <v>6</v>
      </c>
      <c r="AL24" s="74">
        <f>INDEX($N$11:$R$19,MATCH($AG24,$M$11:$M$19,0),MATCH(Y$5,$N$10:$R$10,0))</f>
        <v>7</v>
      </c>
      <c r="AM24" s="74">
        <f>INDEX($N$11:$R$19,MATCH($AG24,$M$11:$M$19,0),MATCH(Z$5,$N$10:$R$10,0))</f>
        <v>7</v>
      </c>
      <c r="AN24" s="74">
        <f>INDEX($N$11:$R$19,MATCH($AG24,$M$11:$M$19,0),MATCH(AA$5,$N$10:$R$10,0))</f>
        <v>7</v>
      </c>
      <c r="AO24" s="74">
        <f>INDEX($N$11:$R$19,MATCH("GG",$M$11:$M$19,0),MATCH(AO$5,$N$10:$R$10,0))</f>
        <v>7</v>
      </c>
      <c r="AP24" s="74">
        <f>AR24*$AD$43</f>
        <v>5762400</v>
      </c>
      <c r="AQ24" s="74">
        <f t="shared" si="0"/>
        <v>14406</v>
      </c>
      <c r="AR24" s="75">
        <f>IF(AJ24&gt;W24,AJ24,W24)*(AQ24/$AD$43)</f>
        <v>1.843968E-2</v>
      </c>
    </row>
    <row r="25" spans="1:45" ht="14.45" customHeight="1">
      <c r="A25" s="37" t="s">
        <v>31</v>
      </c>
      <c r="B25" s="37" t="s">
        <v>33</v>
      </c>
      <c r="C25" s="37" t="s">
        <v>31</v>
      </c>
      <c r="D25" s="37" t="s">
        <v>33</v>
      </c>
      <c r="E25" s="37" t="s">
        <v>29</v>
      </c>
      <c r="G25" s="37" t="s">
        <v>33</v>
      </c>
      <c r="H25" s="37" t="s">
        <v>33</v>
      </c>
      <c r="I25" s="37" t="s">
        <v>33</v>
      </c>
      <c r="J25" s="37" t="s">
        <v>25</v>
      </c>
      <c r="K25" s="37" t="s">
        <v>29</v>
      </c>
      <c r="L25" s="34"/>
      <c r="M25" s="2" t="s">
        <v>25</v>
      </c>
      <c r="N25">
        <f t="shared" ref="N25:N32" si="12">COUNTIF(A$1:A$899,$M25)</f>
        <v>0</v>
      </c>
      <c r="O25">
        <f t="shared" ref="O25:O32" si="13">COUNTIF(B$1:B$899,$M25)</f>
        <v>7</v>
      </c>
      <c r="P25">
        <f t="shared" ref="P25:P32" si="14">COUNTIF(C$1:C$899,$M25)</f>
        <v>0</v>
      </c>
      <c r="Q25">
        <f t="shared" ref="Q25:Q32" si="15">COUNTIF(D$1:D$899,$M25)</f>
        <v>2</v>
      </c>
      <c r="R25">
        <f t="shared" ref="R25:R32" si="16">COUNTIF(E$1:E$899,$M25)</f>
        <v>2</v>
      </c>
      <c r="U25" s="73" t="s">
        <v>35</v>
      </c>
      <c r="V25" s="73">
        <v>4</v>
      </c>
      <c r="W25" s="20">
        <f>'Game Description'!D21</f>
        <v>10</v>
      </c>
      <c r="X25" s="74">
        <f>INDEX($N$11:$R$19,MATCH($U25,$M$11:$M$18,0),MATCH(X$5,$N$10:$R$10,0))+N$19</f>
        <v>17</v>
      </c>
      <c r="Y25" s="74">
        <f>INDEX($N$11:$R$19,MATCH($U25,$M$11:$M$18,0),MATCH(Y$5,$N$10:$R$10,0))+O$19</f>
        <v>16</v>
      </c>
      <c r="Z25" s="74">
        <f>INDEX($N$11:$R$19,MATCH($U25,$M$11:$M$18,0),MATCH(Z$5,$N$10:$R$10,0))+P$19</f>
        <v>16</v>
      </c>
      <c r="AA25" s="74">
        <f>INDEX($N$11:$R$19,MATCH($U25,$M$11:$M$18,0),MATCH(AA$5,$N$10:$R$10,0))+Q$19</f>
        <v>15</v>
      </c>
      <c r="AB25" s="74">
        <f>R$20-(R$19+INDEX($N$11:$R$19,MATCH($U25,$M$11:$M$17,0),MATCH(AB$5,$N$10:$R$10,0)))</f>
        <v>37</v>
      </c>
      <c r="AC25" s="74">
        <f t="shared" si="1"/>
        <v>22521900</v>
      </c>
      <c r="AD25" s="74">
        <f>PRODUCT(X25:AB25)-PRODUCT($N$19:$Q$19)*$AB25-$AQ25</f>
        <v>2252190</v>
      </c>
      <c r="AE25" s="75">
        <f>(AD25/$AD$43)*W25</f>
        <v>7.2070079999999995E-2</v>
      </c>
      <c r="AG25" s="73" t="s">
        <v>37</v>
      </c>
      <c r="AH25" s="73" t="s">
        <v>35</v>
      </c>
      <c r="AI25" s="73">
        <v>3</v>
      </c>
      <c r="AJ25" s="20">
        <f>'Game Description'!$C$22</f>
        <v>40</v>
      </c>
      <c r="AK25" s="74">
        <f>INDEX($N$11:$R$19,MATCH($AG25,$M$11:$M$19,0),MATCH(X$5,$N$10:$R$10,0))</f>
        <v>6</v>
      </c>
      <c r="AL25" s="74">
        <f>INDEX($N$11:$R$19,MATCH($AG25,$M$11:$M$19,0),MATCH(Y$5,$N$10:$R$10,0))</f>
        <v>7</v>
      </c>
      <c r="AM25" s="74">
        <f>INDEX($N$11:$R$19,MATCH($AG25,$M$11:$M$19,0),MATCH(Z$5,$N$10:$R$10,0))</f>
        <v>7</v>
      </c>
      <c r="AN25" s="74">
        <f>INDEX($N$11:$R$19,MATCH("GG",$M$11:$M$19,0),MATCH(AN$5,$N$10:$R$10,0))</f>
        <v>8</v>
      </c>
      <c r="AO25" s="74">
        <f>R20-R19-R17</f>
        <v>37</v>
      </c>
      <c r="AP25" s="74">
        <f>AR25*$AD$43</f>
        <v>3480960</v>
      </c>
      <c r="AQ25" s="74">
        <f t="shared" si="0"/>
        <v>87024</v>
      </c>
      <c r="AR25" s="75">
        <f>IF(AJ25&gt;W25,AJ25,W25)*(AQ25/$AD$43)</f>
        <v>1.1139072E-2</v>
      </c>
    </row>
    <row r="26" spans="1:45" ht="14.45" customHeight="1">
      <c r="A26" s="37" t="s">
        <v>40</v>
      </c>
      <c r="B26" s="37" t="s">
        <v>40</v>
      </c>
      <c r="C26" s="37" t="s">
        <v>40</v>
      </c>
      <c r="D26" s="37" t="s">
        <v>33</v>
      </c>
      <c r="E26" s="37" t="s">
        <v>29</v>
      </c>
      <c r="G26" s="37" t="s">
        <v>33</v>
      </c>
      <c r="H26" s="37" t="s">
        <v>25</v>
      </c>
      <c r="I26" s="37" t="s">
        <v>37</v>
      </c>
      <c r="J26" s="37" t="s">
        <v>33</v>
      </c>
      <c r="K26" s="37" t="s">
        <v>29</v>
      </c>
      <c r="L26" s="34"/>
      <c r="M26" s="2" t="s">
        <v>27</v>
      </c>
      <c r="N26">
        <f t="shared" si="12"/>
        <v>6</v>
      </c>
      <c r="O26">
        <f t="shared" si="13"/>
        <v>0</v>
      </c>
      <c r="P26">
        <f t="shared" si="14"/>
        <v>6</v>
      </c>
      <c r="Q26">
        <f t="shared" si="15"/>
        <v>1</v>
      </c>
      <c r="R26">
        <f t="shared" si="16"/>
        <v>1</v>
      </c>
      <c r="U26" s="73" t="s">
        <v>35</v>
      </c>
      <c r="V26" s="73">
        <v>3</v>
      </c>
      <c r="W26" s="20">
        <f>'Game Description'!C21</f>
        <v>1</v>
      </c>
      <c r="X26" s="74">
        <f>INDEX($N$11:$R$19,MATCH($U26,$M$11:$M$18,0),MATCH(X$5,$N$10:$R$10,0))+N$19</f>
        <v>17</v>
      </c>
      <c r="Y26" s="74">
        <f>INDEX($N$11:$R$19,MATCH($U26,$M$11:$M$18,0),MATCH(Y$5,$N$10:$R$10,0))+O$19</f>
        <v>16</v>
      </c>
      <c r="Z26" s="74">
        <f>INDEX($N$11:$R$19,MATCH($U26,$M$11:$M$18,0),MATCH(Z$5,$N$10:$R$10,0))+P$19</f>
        <v>16</v>
      </c>
      <c r="AA26" s="74">
        <f>Q$20-(Q$19+INDEX($N$11:$R$19,MATCH($U26,$M$11:$M$18,0),MATCH(AA$5,$N$10:$R$10,0)))</f>
        <v>35</v>
      </c>
      <c r="AB26" s="74">
        <f t="shared" ref="AB26" si="17">$R$20</f>
        <v>50</v>
      </c>
      <c r="AC26" s="74">
        <f t="shared" si="1"/>
        <v>7101500</v>
      </c>
      <c r="AD26" s="74">
        <f>PRODUCT(X26:AB26)- PRODUCT($N$19:$P$19)*AA26*AB26</f>
        <v>7101500</v>
      </c>
      <c r="AE26" s="75">
        <f>(AD26/$AD$43)*W26</f>
        <v>2.27248E-2</v>
      </c>
      <c r="AG26" s="73" t="s">
        <v>37</v>
      </c>
      <c r="AH26" s="73" t="s">
        <v>35</v>
      </c>
      <c r="AI26" s="73">
        <v>3</v>
      </c>
      <c r="AJ26" s="20">
        <f>'Game Description'!$C$22</f>
        <v>40</v>
      </c>
      <c r="AK26" s="74">
        <f>INDEX($N$11:$R$19,MATCH($AG26,$M$11:$M$19,0),MATCH(X$5,$N$10:$R$10,0))</f>
        <v>6</v>
      </c>
      <c r="AL26" s="74">
        <f>INDEX($N$11:$R$19,MATCH($AG26,$M$11:$M$19,0),MATCH(Y$5,$N$10:$R$10,0))</f>
        <v>7</v>
      </c>
      <c r="AM26" s="74">
        <f>INDEX($N$11:$R$19,MATCH($AG26,$M$11:$M$19,0),MATCH(Z$5,$N$10:$R$10,0))</f>
        <v>7</v>
      </c>
      <c r="AN26" s="74">
        <f>INDEX($N$11:$R$19,MATCH("GG",$M$11:$M$19,0),MATCH(AN$5,$N$10:$R$10,0))</f>
        <v>8</v>
      </c>
      <c r="AO26" s="74">
        <f>R17</f>
        <v>7</v>
      </c>
      <c r="AP26" s="74">
        <f>AR26*$AD$43</f>
        <v>823200</v>
      </c>
      <c r="AQ26" s="74">
        <f>PRODUCT(AK26:AO26)</f>
        <v>16464</v>
      </c>
      <c r="AR26" s="75">
        <f>IF(AJ26&gt;W24,AJ26,W24)*(AQ26/$AD$43)</f>
        <v>2.6342399999999999E-3</v>
      </c>
      <c r="AS26" s="78"/>
    </row>
    <row r="27" spans="1:45" ht="14.45" customHeight="1">
      <c r="G27" s="37" t="s">
        <v>33</v>
      </c>
      <c r="H27" s="37" t="s">
        <v>33</v>
      </c>
      <c r="I27" s="37" t="s">
        <v>37</v>
      </c>
      <c r="J27" s="37" t="s">
        <v>37</v>
      </c>
      <c r="K27" s="37" t="s">
        <v>33</v>
      </c>
      <c r="L27" s="34"/>
      <c r="M27" s="2" t="s">
        <v>29</v>
      </c>
      <c r="N27">
        <f t="shared" si="12"/>
        <v>0</v>
      </c>
      <c r="O27">
        <f t="shared" si="13"/>
        <v>6</v>
      </c>
      <c r="P27">
        <f t="shared" si="14"/>
        <v>0</v>
      </c>
      <c r="Q27">
        <f t="shared" si="15"/>
        <v>4</v>
      </c>
      <c r="R27">
        <f t="shared" si="16"/>
        <v>5</v>
      </c>
      <c r="U27" s="45" t="s">
        <v>40</v>
      </c>
      <c r="V27" s="73">
        <v>5</v>
      </c>
      <c r="W27" s="20">
        <f>'Game Description'!E23</f>
        <v>500</v>
      </c>
      <c r="X27" s="74">
        <f>IF(M36=$U27,3*INDEX($N$11:$R$19,MATCH($U27,$M$11:$M$18,0),MATCH(X$5,$N$10:$R$10,0)),N$20-3*INDEX($N$11:$R$19,MATCH($U27,$M$11:$M$18,0),MATCH(X$5,$N$10:$R$10,0)))</f>
        <v>3</v>
      </c>
      <c r="Y27" s="74">
        <f>IF(N36=$U27,3*INDEX($N$11:$R$19,MATCH($U27,$M$11:$M$18,0),MATCH(Y$5,$N$10:$R$10,0)),O$20-3*INDEX($N$11:$R$19,MATCH($U27,$M$11:$M$18,0),MATCH(Y$5,$N$10:$R$10,0)))</f>
        <v>3</v>
      </c>
      <c r="Z27" s="74">
        <f>IF(O36=$U27,3*INDEX($N$11:$R$19,MATCH($U27,$M$11:$M$18,0),MATCH(Z$5,$N$10:$R$10,0)),P$20-3*INDEX($N$11:$R$19,MATCH($U27,$M$11:$M$18,0),MATCH(Z$5,$N$10:$R$10,0)))</f>
        <v>6</v>
      </c>
      <c r="AA27" s="74">
        <f>IF(P36=$U27,3*INDEX($N$11:$R$19,MATCH($U27,$M$11:$M$18,0),MATCH(AA$5,$N$10:$R$10,0)),Q$20-3*INDEX($N$11:$R$19,MATCH($U27,$M$11:$M$18,0),MATCH(AA$5,$N$10:$R$10,0)))</f>
        <v>6</v>
      </c>
      <c r="AB27" s="74">
        <f>IF(Q36=$U27,3*INDEX($N$11:$R$19,MATCH($U27,$M$11:$M$18,0),MATCH(AB$5,$N$10:$R$10,0)),R$20-3*INDEX($N$11:$R$19,MATCH($U27,$M$11:$M$18,0),MATCH(AB$5,$N$10:$R$10,0)))</f>
        <v>3</v>
      </c>
      <c r="AC27" s="74">
        <f>AD27*W27</f>
        <v>486000</v>
      </c>
      <c r="AD27" s="74">
        <f>PRODUCT(X27:AB27)</f>
        <v>972</v>
      </c>
      <c r="AE27" s="80">
        <f>(AD27/$AD$43)*W27</f>
        <v>1.5551999999999999E-3</v>
      </c>
      <c r="AF27" s="78">
        <f>SUM(AE24:AE26)</f>
        <v>0.22366239999999998</v>
      </c>
      <c r="AG27" s="73"/>
      <c r="AH27" s="73"/>
      <c r="AI27" s="73"/>
      <c r="AJ27" s="20"/>
      <c r="AK27" s="74">
        <f>N19</f>
        <v>6</v>
      </c>
      <c r="AL27" s="74">
        <f>O19</f>
        <v>7</v>
      </c>
      <c r="AM27" s="74">
        <f>P19</f>
        <v>7</v>
      </c>
      <c r="AN27" s="74">
        <f>Q19</f>
        <v>7</v>
      </c>
      <c r="AO27" s="74">
        <f>R19</f>
        <v>6</v>
      </c>
      <c r="AP27" s="74">
        <f>AR27*$AD$43</f>
        <v>12348000</v>
      </c>
      <c r="AQ27" s="74">
        <f>PRODUCT(AK27:AO27)</f>
        <v>12348</v>
      </c>
      <c r="AR27" s="75">
        <f>AQ27/AD43*'Game Description'!E22</f>
        <v>3.9513600000000003E-2</v>
      </c>
    </row>
    <row r="28" spans="1:45" ht="14.45" customHeight="1">
      <c r="G28" s="37" t="s">
        <v>35</v>
      </c>
      <c r="H28" s="37" t="s">
        <v>35</v>
      </c>
      <c r="I28" s="37" t="s">
        <v>33</v>
      </c>
      <c r="J28" s="43" t="s">
        <v>23</v>
      </c>
      <c r="K28" s="37" t="s">
        <v>33</v>
      </c>
      <c r="L28" s="34"/>
      <c r="M28" s="2" t="s">
        <v>31</v>
      </c>
      <c r="N28">
        <f t="shared" si="12"/>
        <v>3</v>
      </c>
      <c r="O28">
        <f t="shared" si="13"/>
        <v>0</v>
      </c>
      <c r="P28">
        <f t="shared" si="14"/>
        <v>3</v>
      </c>
      <c r="Q28">
        <f t="shared" si="15"/>
        <v>5</v>
      </c>
      <c r="R28">
        <f t="shared" si="16"/>
        <v>5</v>
      </c>
      <c r="U28" s="45" t="s">
        <v>40</v>
      </c>
      <c r="V28" s="73">
        <v>4</v>
      </c>
      <c r="W28" s="20">
        <f>'Game Description'!$D$23</f>
        <v>50</v>
      </c>
      <c r="X28" s="74">
        <f>IF(M37=$U28,3*INDEX($N$11:$R$19,MATCH($U28,$M$11:$M$18,0),MATCH(X$5,$N$10:$R$10,0)),N$20-3*INDEX($N$11:$R$19,MATCH($U28,$M$11:$M$18,0),MATCH(X$5,$N$10:$R$10,0)))</f>
        <v>3</v>
      </c>
      <c r="Y28" s="74">
        <f>IF(N37=$U28,3*INDEX($N$11:$R$19,MATCH($U28,$M$11:$M$18,0),MATCH(Y$5,$N$10:$R$10,0)),O$20-3*INDEX($N$11:$R$19,MATCH($U28,$M$11:$M$18,0),MATCH(Y$5,$N$10:$R$10,0)))</f>
        <v>3</v>
      </c>
      <c r="Z28" s="74">
        <f>IF(O37=$U28,3*INDEX($N$11:$R$19,MATCH($U28,$M$11:$M$18,0),MATCH(Z$5,$N$10:$R$10,0)),P$20-3*INDEX($N$11:$R$19,MATCH($U28,$M$11:$M$18,0),MATCH(Z$5,$N$10:$R$10,0)))</f>
        <v>6</v>
      </c>
      <c r="AA28" s="74">
        <f>IF(P37=$U28,3*INDEX($N$11:$R$19,MATCH($U28,$M$11:$M$18,0),MATCH(AA$5,$N$10:$R$10,0)),Q$20-3*INDEX($N$11:$R$19,MATCH($U28,$M$11:$M$18,0),MATCH(AA$5,$N$10:$R$10,0)))</f>
        <v>6</v>
      </c>
      <c r="AB28" s="74">
        <f>IF(Q37=$U28,3*INDEX($N$11:$R$19,MATCH($U28,$M$11:$M$18,0),MATCH(AB$5,$N$10:$R$10,0)),R$20-3*INDEX($N$11:$R$19,MATCH($U28,$M$11:$M$18,0),MATCH(AB$5,$N$10:$R$10,0)))</f>
        <v>47</v>
      </c>
      <c r="AC28" s="74">
        <f t="shared" si="1"/>
        <v>761400</v>
      </c>
      <c r="AD28" s="74">
        <f>PRODUCT(X28:AB28)</f>
        <v>15228</v>
      </c>
      <c r="AE28" s="75">
        <f>(AD28/$AD$43)*W28</f>
        <v>2.43648E-3</v>
      </c>
      <c r="AF28" s="79">
        <f>SUM(AF9:AF27)</f>
        <v>1.681422432</v>
      </c>
      <c r="AP28" s="74">
        <f>AR28*$AD$43</f>
        <v>823200</v>
      </c>
      <c r="AQ28" s="77">
        <f>PRODUCT($N$19:$Q$19)*R18</f>
        <v>2058</v>
      </c>
      <c r="AR28" s="82">
        <f>(AQ28/$AD$43)*'Game Description'!$D$22</f>
        <v>2.6342399999999999E-3</v>
      </c>
      <c r="AS28" s="79"/>
    </row>
    <row r="29" spans="1:45" ht="14.45" customHeight="1">
      <c r="G29" s="37" t="s">
        <v>33</v>
      </c>
      <c r="H29" s="37" t="s">
        <v>35</v>
      </c>
      <c r="I29" s="37" t="s">
        <v>33</v>
      </c>
      <c r="J29" s="37" t="s">
        <v>23</v>
      </c>
      <c r="K29" s="37" t="s">
        <v>33</v>
      </c>
      <c r="L29" s="34"/>
      <c r="M29" s="2" t="s">
        <v>33</v>
      </c>
      <c r="N29">
        <f t="shared" si="12"/>
        <v>0</v>
      </c>
      <c r="O29">
        <f t="shared" si="13"/>
        <v>3</v>
      </c>
      <c r="P29">
        <f t="shared" si="14"/>
        <v>0</v>
      </c>
      <c r="Q29">
        <f t="shared" si="15"/>
        <v>3</v>
      </c>
      <c r="R29">
        <f t="shared" si="16"/>
        <v>1</v>
      </c>
      <c r="U29" s="45" t="s">
        <v>40</v>
      </c>
      <c r="V29" s="73">
        <v>4</v>
      </c>
      <c r="W29" s="20">
        <f>'Game Description'!$D$23</f>
        <v>50</v>
      </c>
      <c r="X29" s="74">
        <f>IF(M38=$U29,3*INDEX($N$11:$R$19,MATCH($U29,$M$11:$M$18,0),MATCH(X$5,$N$10:$R$10,0)),N$20-3*INDEX($N$11:$R$19,MATCH($U29,$M$11:$M$18,0),MATCH(X$5,$N$10:$R$10,0)))</f>
        <v>3</v>
      </c>
      <c r="Y29" s="74">
        <f>IF(N38=$U29,3*INDEX($N$11:$R$19,MATCH($U29,$M$11:$M$18,0),MATCH(Y$5,$N$10:$R$10,0)),O$20-3*INDEX($N$11:$R$19,MATCH($U29,$M$11:$M$18,0),MATCH(Y$5,$N$10:$R$10,0)))</f>
        <v>3</v>
      </c>
      <c r="Z29" s="74">
        <f>IF(O38=$U29,3*INDEX($N$11:$R$19,MATCH($U29,$M$11:$M$18,0),MATCH(Z$5,$N$10:$R$10,0)),P$20-3*INDEX($N$11:$R$19,MATCH($U29,$M$11:$M$18,0),MATCH(Z$5,$N$10:$R$10,0)))</f>
        <v>6</v>
      </c>
      <c r="AA29" s="74">
        <f>IF(P38=$U29,3*INDEX($N$11:$R$19,MATCH($U29,$M$11:$M$18,0),MATCH(AA$5,$N$10:$R$10,0)),Q$20-3*INDEX($N$11:$R$19,MATCH($U29,$M$11:$M$18,0),MATCH(AA$5,$N$10:$R$10,0)))</f>
        <v>44</v>
      </c>
      <c r="AB29" s="74">
        <f>IF(Q38=$U29,3*INDEX($N$11:$R$19,MATCH($U29,$M$11:$M$18,0),MATCH(AB$5,$N$10:$R$10,0)),R$20-3*INDEX($N$11:$R$19,MATCH($U29,$M$11:$M$18,0),MATCH(AB$5,$N$10:$R$10,0)))</f>
        <v>3</v>
      </c>
      <c r="AC29" s="74">
        <f t="shared" si="1"/>
        <v>356400</v>
      </c>
      <c r="AD29" s="74">
        <f t="shared" ref="AD27:AD42" si="18">PRODUCT(X29:AB29)</f>
        <v>7128</v>
      </c>
      <c r="AE29" s="75">
        <f>(AD29/$AD$43)*W29</f>
        <v>1.1404799999999999E-3</v>
      </c>
      <c r="AP29" s="74">
        <f>AR29*$AD$43</f>
        <v>1175999.9999999998</v>
      </c>
      <c r="AQ29" s="77">
        <f>PRODUCT($N$19:$P$19)*Q18*$R$20</f>
        <v>29400</v>
      </c>
      <c r="AR29" s="82">
        <f>(AQ29/$AD$43)*'Game Description'!$C$22</f>
        <v>3.7631999999999995E-3</v>
      </c>
    </row>
    <row r="30" spans="1:45" ht="14.45" customHeight="1">
      <c r="G30" s="37" t="s">
        <v>29</v>
      </c>
      <c r="H30" s="37" t="s">
        <v>35</v>
      </c>
      <c r="I30" s="37" t="s">
        <v>31</v>
      </c>
      <c r="J30" s="37" t="s">
        <v>23</v>
      </c>
      <c r="K30" s="37" t="s">
        <v>23</v>
      </c>
      <c r="L30" s="34"/>
      <c r="M30" s="41" t="s">
        <v>35</v>
      </c>
      <c r="N30">
        <f t="shared" si="12"/>
        <v>2</v>
      </c>
      <c r="O30">
        <f t="shared" si="13"/>
        <v>0</v>
      </c>
      <c r="P30">
        <f t="shared" si="14"/>
        <v>2</v>
      </c>
      <c r="Q30">
        <f t="shared" si="15"/>
        <v>5</v>
      </c>
      <c r="R30">
        <f t="shared" si="16"/>
        <v>6</v>
      </c>
      <c r="U30" s="45" t="s">
        <v>40</v>
      </c>
      <c r="V30" s="73">
        <v>4</v>
      </c>
      <c r="W30" s="20">
        <f>'Game Description'!$D$23</f>
        <v>50</v>
      </c>
      <c r="X30" s="74">
        <f>IF(M39=$U30,3*INDEX($N$11:$R$19,MATCH($U30,$M$11:$M$18,0),MATCH(X$5,$N$10:$R$10,0)),N$20-3*INDEX($N$11:$R$19,MATCH($U30,$M$11:$M$18,0),MATCH(X$5,$N$10:$R$10,0)))</f>
        <v>3</v>
      </c>
      <c r="Y30" s="74">
        <f>IF(N39=$U30,3*INDEX($N$11:$R$19,MATCH($U30,$M$11:$M$18,0),MATCH(Y$5,$N$10:$R$10,0)),O$20-3*INDEX($N$11:$R$19,MATCH($U30,$M$11:$M$18,0),MATCH(Y$5,$N$10:$R$10,0)))</f>
        <v>3</v>
      </c>
      <c r="Z30" s="74">
        <f>IF(O39=$U30,3*INDEX($N$11:$R$19,MATCH($U30,$M$11:$M$18,0),MATCH(Z$5,$N$10:$R$10,0)),P$20-3*INDEX($N$11:$R$19,MATCH($U30,$M$11:$M$18,0),MATCH(Z$5,$N$10:$R$10,0)))</f>
        <v>44</v>
      </c>
      <c r="AA30" s="74">
        <f>IF(P39=$U30,3*INDEX($N$11:$R$19,MATCH($U30,$M$11:$M$18,0),MATCH(AA$5,$N$10:$R$10,0)),Q$20-3*INDEX($N$11:$R$19,MATCH($U30,$M$11:$M$18,0),MATCH(AA$5,$N$10:$R$10,0)))</f>
        <v>6</v>
      </c>
      <c r="AB30" s="74">
        <f>IF(Q39=$U30,3*INDEX($N$11:$R$19,MATCH($U30,$M$11:$M$18,0),MATCH(AB$5,$N$10:$R$10,0)),R$20-3*INDEX($N$11:$R$19,MATCH($U30,$M$11:$M$18,0),MATCH(AB$5,$N$10:$R$10,0)))</f>
        <v>3</v>
      </c>
      <c r="AC30" s="74">
        <f t="shared" si="1"/>
        <v>356400</v>
      </c>
      <c r="AD30" s="74">
        <f t="shared" si="18"/>
        <v>7128</v>
      </c>
      <c r="AE30" s="75">
        <f>(AD30/$AD$43)*W30</f>
        <v>1.1404799999999999E-3</v>
      </c>
      <c r="AP30">
        <f>SUM(AP6:AP29)</f>
        <v>83969340</v>
      </c>
      <c r="AQ30" s="77">
        <f>SUM(AQ6:AQ27)</f>
        <v>631218</v>
      </c>
      <c r="AR30" s="79">
        <f>SUM(AR6:AR29)</f>
        <v>0.26870188800000006</v>
      </c>
    </row>
    <row r="31" spans="1:45" ht="14.45" customHeight="1">
      <c r="G31" s="43" t="s">
        <v>29</v>
      </c>
      <c r="H31" s="37" t="s">
        <v>37</v>
      </c>
      <c r="I31" s="37" t="s">
        <v>23</v>
      </c>
      <c r="J31" s="37" t="s">
        <v>31</v>
      </c>
      <c r="K31" s="37" t="s">
        <v>33</v>
      </c>
      <c r="L31" s="34"/>
      <c r="M31" s="45" t="s">
        <v>40</v>
      </c>
      <c r="N31">
        <f t="shared" si="12"/>
        <v>8</v>
      </c>
      <c r="O31">
        <f t="shared" si="13"/>
        <v>8</v>
      </c>
      <c r="P31">
        <f t="shared" si="14"/>
        <v>8</v>
      </c>
      <c r="Q31">
        <f t="shared" si="15"/>
        <v>1</v>
      </c>
      <c r="R31">
        <f t="shared" si="16"/>
        <v>1</v>
      </c>
      <c r="U31" s="45" t="s">
        <v>40</v>
      </c>
      <c r="V31" s="73">
        <v>4</v>
      </c>
      <c r="W31" s="20">
        <f>'Game Description'!$D$23</f>
        <v>50</v>
      </c>
      <c r="X31" s="74">
        <f>IF(M40=$U31,3*INDEX($N$11:$R$19,MATCH($U31,$M$11:$M$18,0),MATCH(X$5,$N$10:$R$10,0)),N$20-3*INDEX($N$11:$R$19,MATCH($U31,$M$11:$M$18,0),MATCH(X$5,$N$10:$R$10,0)))</f>
        <v>3</v>
      </c>
      <c r="Y31" s="74">
        <f>IF(N40=$U31,3*INDEX($N$11:$R$19,MATCH($U31,$M$11:$M$18,0),MATCH(Y$5,$N$10:$R$10,0)),O$20-3*INDEX($N$11:$R$19,MATCH($U31,$M$11:$M$18,0),MATCH(Y$5,$N$10:$R$10,0)))</f>
        <v>47</v>
      </c>
      <c r="Z31" s="74">
        <f>IF(O40=$U31,3*INDEX($N$11:$R$19,MATCH($U31,$M$11:$M$18,0),MATCH(Z$5,$N$10:$R$10,0)),P$20-3*INDEX($N$11:$R$19,MATCH($U31,$M$11:$M$18,0),MATCH(Z$5,$N$10:$R$10,0)))</f>
        <v>6</v>
      </c>
      <c r="AA31" s="74">
        <f>IF(P40=$U31,3*INDEX($N$11:$R$19,MATCH($U31,$M$11:$M$18,0),MATCH(AA$5,$N$10:$R$10,0)),Q$20-3*INDEX($N$11:$R$19,MATCH($U31,$M$11:$M$18,0),MATCH(AA$5,$N$10:$R$10,0)))</f>
        <v>6</v>
      </c>
      <c r="AB31" s="74">
        <f>IF(Q40=$U31,3*INDEX($N$11:$R$19,MATCH($U31,$M$11:$M$18,0),MATCH(AB$5,$N$10:$R$10,0)),R$20-3*INDEX($N$11:$R$19,MATCH($U31,$M$11:$M$18,0),MATCH(AB$5,$N$10:$R$10,0)))</f>
        <v>3</v>
      </c>
      <c r="AC31" s="74">
        <f t="shared" si="1"/>
        <v>761400</v>
      </c>
      <c r="AD31" s="74">
        <f t="shared" si="18"/>
        <v>15228</v>
      </c>
      <c r="AE31" s="75">
        <f>(AD31/$AD$43)*W31</f>
        <v>2.43648E-3</v>
      </c>
      <c r="AR31" s="79"/>
    </row>
    <row r="32" spans="1:45" ht="14.45" customHeight="1">
      <c r="G32" s="37" t="s">
        <v>29</v>
      </c>
      <c r="H32" s="81" t="s">
        <v>37</v>
      </c>
      <c r="I32" s="37" t="s">
        <v>31</v>
      </c>
      <c r="J32" s="37" t="s">
        <v>37</v>
      </c>
      <c r="K32" s="43" t="s">
        <v>29</v>
      </c>
      <c r="L32" s="34"/>
      <c r="M32" s="44" t="s">
        <v>37</v>
      </c>
      <c r="N32">
        <f t="shared" si="12"/>
        <v>0</v>
      </c>
      <c r="O32">
        <f t="shared" si="13"/>
        <v>0</v>
      </c>
      <c r="P32">
        <f t="shared" si="14"/>
        <v>0</v>
      </c>
      <c r="Q32">
        <f t="shared" si="15"/>
        <v>0</v>
      </c>
      <c r="R32">
        <f t="shared" si="16"/>
        <v>0</v>
      </c>
      <c r="U32" s="45" t="s">
        <v>40</v>
      </c>
      <c r="V32" s="73">
        <v>4</v>
      </c>
      <c r="W32" s="20">
        <f>'Game Description'!$D$23</f>
        <v>50</v>
      </c>
      <c r="X32" s="74">
        <f>IF(M41=$U32,3*INDEX($N$11:$R$19,MATCH($U32,$M$11:$M$18,0),MATCH(X$5,$N$10:$R$10,0)),N$20-3*INDEX($N$11:$R$19,MATCH($U32,$M$11:$M$18,0),MATCH(X$5,$N$10:$R$10,0)))</f>
        <v>47</v>
      </c>
      <c r="Y32" s="74">
        <f>IF(N41=$U32,3*INDEX($N$11:$R$19,MATCH($U32,$M$11:$M$18,0),MATCH(Y$5,$N$10:$R$10,0)),O$20-3*INDEX($N$11:$R$19,MATCH($U32,$M$11:$M$18,0),MATCH(Y$5,$N$10:$R$10,0)))</f>
        <v>3</v>
      </c>
      <c r="Z32" s="74">
        <f>IF(O41=$U32,3*INDEX($N$11:$R$19,MATCH($U32,$M$11:$M$18,0),MATCH(Z$5,$N$10:$R$10,0)),P$20-3*INDEX($N$11:$R$19,MATCH($U32,$M$11:$M$18,0),MATCH(Z$5,$N$10:$R$10,0)))</f>
        <v>6</v>
      </c>
      <c r="AA32" s="74">
        <f>IF(P41=$U32,3*INDEX($N$11:$R$19,MATCH($U32,$M$11:$M$18,0),MATCH(AA$5,$N$10:$R$10,0)),Q$20-3*INDEX($N$11:$R$19,MATCH($U32,$M$11:$M$18,0),MATCH(AA$5,$N$10:$R$10,0)))</f>
        <v>6</v>
      </c>
      <c r="AB32" s="74">
        <f>IF(Q41=$U32,3*INDEX($N$11:$R$19,MATCH($U32,$M$11:$M$18,0),MATCH(AB$5,$N$10:$R$10,0)),R$20-3*INDEX($N$11:$R$19,MATCH($U32,$M$11:$M$18,0),MATCH(AB$5,$N$10:$R$10,0)))</f>
        <v>3</v>
      </c>
      <c r="AC32" s="74">
        <f t="shared" si="1"/>
        <v>761400</v>
      </c>
      <c r="AD32" s="74">
        <f t="shared" si="18"/>
        <v>15228</v>
      </c>
      <c r="AE32" s="75">
        <f>(AD32/$AD$43)*W32</f>
        <v>2.43648E-3</v>
      </c>
      <c r="AR32" s="78"/>
    </row>
    <row r="33" spans="7:42" ht="14.45" customHeight="1">
      <c r="G33" s="37" t="s">
        <v>31</v>
      </c>
      <c r="H33" s="37" t="s">
        <v>37</v>
      </c>
      <c r="I33" s="37" t="s">
        <v>29</v>
      </c>
      <c r="J33" s="37" t="s">
        <v>33</v>
      </c>
      <c r="K33" s="37" t="s">
        <v>35</v>
      </c>
      <c r="L33" s="34"/>
      <c r="M33" t="s">
        <v>67</v>
      </c>
      <c r="N33">
        <f>SUM(N24:N32)</f>
        <v>24</v>
      </c>
      <c r="O33">
        <f t="shared" ref="O33:R33" si="19">SUM(O24:O32)</f>
        <v>24</v>
      </c>
      <c r="P33">
        <f t="shared" si="19"/>
        <v>24</v>
      </c>
      <c r="Q33">
        <f t="shared" si="19"/>
        <v>24</v>
      </c>
      <c r="R33">
        <f t="shared" si="19"/>
        <v>24</v>
      </c>
      <c r="U33" s="45" t="s">
        <v>40</v>
      </c>
      <c r="V33" s="73">
        <v>3</v>
      </c>
      <c r="W33" s="20">
        <f>'Game Description'!$C$23</f>
        <v>10</v>
      </c>
      <c r="X33" s="74">
        <f>IF(M42=$U33,3*INDEX($N$11:$R$19,MATCH($U33,$M$11:$M$18,0),MATCH(X$5,$N$10:$R$10,0)),N$20-3*INDEX($N$11:$R$19,MATCH($U33,$M$11:$M$18,0),MATCH(X$5,$N$10:$R$10,0)))</f>
        <v>47</v>
      </c>
      <c r="Y33" s="74">
        <f>IF(N42=$U33,3*INDEX($N$11:$R$19,MATCH($U33,$M$11:$M$18,0),MATCH(Y$5,$N$10:$R$10,0)),O$20-3*INDEX($N$11:$R$19,MATCH($U33,$M$11:$M$18,0),MATCH(Y$5,$N$10:$R$10,0)))</f>
        <v>3</v>
      </c>
      <c r="Z33" s="74">
        <f>IF(O42=$U33,3*INDEX($N$11:$R$19,MATCH($U33,$M$11:$M$18,0),MATCH(Z$5,$N$10:$R$10,0)),P$20-3*INDEX($N$11:$R$19,MATCH($U33,$M$11:$M$18,0),MATCH(Z$5,$N$10:$R$10,0)))</f>
        <v>6</v>
      </c>
      <c r="AA33" s="74">
        <f>IF(P42=$U33,3*INDEX($N$11:$R$19,MATCH($U33,$M$11:$M$18,0),MATCH(AA$5,$N$10:$R$10,0)),Q$20-3*INDEX($N$11:$R$19,MATCH($U33,$M$11:$M$18,0),MATCH(AA$5,$N$10:$R$10,0)))</f>
        <v>6</v>
      </c>
      <c r="AB33" s="74">
        <f>IF(Q42=$U33,3*INDEX($N$11:$R$19,MATCH($U33,$M$11:$M$18,0),MATCH(AB$5,$N$10:$R$10,0)),R$20-3*INDEX($N$11:$R$19,MATCH($U33,$M$11:$M$18,0),MATCH(AB$5,$N$10:$R$10,0)))</f>
        <v>47</v>
      </c>
      <c r="AC33" s="74">
        <f t="shared" si="1"/>
        <v>2385720</v>
      </c>
      <c r="AD33" s="74">
        <f t="shared" si="18"/>
        <v>238572</v>
      </c>
      <c r="AE33" s="75">
        <f>(AD33/$AD$43)*W33</f>
        <v>7.6343039999999997E-3</v>
      </c>
    </row>
    <row r="34" spans="7:42" ht="14.45" customHeight="1">
      <c r="G34" s="37" t="s">
        <v>31</v>
      </c>
      <c r="H34" s="37" t="s">
        <v>33</v>
      </c>
      <c r="I34" s="37" t="s">
        <v>29</v>
      </c>
      <c r="J34" s="37" t="s">
        <v>35</v>
      </c>
      <c r="K34" s="37" t="s">
        <v>31</v>
      </c>
      <c r="L34" s="34"/>
      <c r="M34" s="34"/>
      <c r="N34" s="34"/>
      <c r="O34" s="34"/>
      <c r="P34" s="34"/>
      <c r="Q34" s="34"/>
      <c r="R34" s="34"/>
      <c r="U34" s="45" t="s">
        <v>40</v>
      </c>
      <c r="V34" s="73">
        <v>3</v>
      </c>
      <c r="W34" s="20">
        <f>'Game Description'!$C$23</f>
        <v>10</v>
      </c>
      <c r="X34" s="74">
        <f>IF(M43=$U34,3*INDEX($N$11:$R$19,MATCH($U34,$M$11:$M$18,0),MATCH(X$5,$N$10:$R$10,0)),N$20-3*INDEX($N$11:$R$19,MATCH($U34,$M$11:$M$18,0),MATCH(X$5,$N$10:$R$10,0)))</f>
        <v>3</v>
      </c>
      <c r="Y34" s="74">
        <f>IF(N43=$U34,3*INDEX($N$11:$R$19,MATCH($U34,$M$11:$M$18,0),MATCH(Y$5,$N$10:$R$10,0)),O$20-3*INDEX($N$11:$R$19,MATCH($U34,$M$11:$M$18,0),MATCH(Y$5,$N$10:$R$10,0)))</f>
        <v>47</v>
      </c>
      <c r="Z34" s="74">
        <f>IF(O43=$U34,3*INDEX($N$11:$R$19,MATCH($U34,$M$11:$M$18,0),MATCH(Z$5,$N$10:$R$10,0)),P$20-3*INDEX($N$11:$R$19,MATCH($U34,$M$11:$M$18,0),MATCH(Z$5,$N$10:$R$10,0)))</f>
        <v>6</v>
      </c>
      <c r="AA34" s="74">
        <f>IF(P43=$U34,3*INDEX($N$11:$R$19,MATCH($U34,$M$11:$M$18,0),MATCH(AA$5,$N$10:$R$10,0)),Q$20-3*INDEX($N$11:$R$19,MATCH($U34,$M$11:$M$18,0),MATCH(AA$5,$N$10:$R$10,0)))</f>
        <v>6</v>
      </c>
      <c r="AB34" s="74">
        <f>IF(Q43=$U34,3*INDEX($N$11:$R$19,MATCH($U34,$M$11:$M$18,0),MATCH(AB$5,$N$10:$R$10,0)),R$20-3*INDEX($N$11:$R$19,MATCH($U34,$M$11:$M$18,0),MATCH(AB$5,$N$10:$R$10,0)))</f>
        <v>47</v>
      </c>
      <c r="AC34" s="74">
        <f t="shared" si="1"/>
        <v>2385720</v>
      </c>
      <c r="AD34" s="74">
        <f t="shared" si="18"/>
        <v>238572</v>
      </c>
      <c r="AE34" s="75">
        <f>(AD34/$AD$43)*W34</f>
        <v>7.6343039999999997E-3</v>
      </c>
    </row>
    <row r="35" spans="7:42" ht="14.45" customHeight="1">
      <c r="G35" s="37" t="s">
        <v>25</v>
      </c>
      <c r="H35" s="37" t="s">
        <v>31</v>
      </c>
      <c r="I35" s="37" t="s">
        <v>29</v>
      </c>
      <c r="J35" s="37" t="s">
        <v>35</v>
      </c>
      <c r="K35" s="37" t="s">
        <v>31</v>
      </c>
      <c r="L35" s="34"/>
      <c r="M35" s="89" t="s">
        <v>96</v>
      </c>
      <c r="N35" s="89"/>
      <c r="O35" s="89"/>
      <c r="P35" s="89"/>
      <c r="Q35" s="89"/>
      <c r="R35" s="34"/>
      <c r="U35" s="45" t="s">
        <v>40</v>
      </c>
      <c r="V35" s="73">
        <v>3</v>
      </c>
      <c r="W35" s="20">
        <f>'Game Description'!$C$23</f>
        <v>10</v>
      </c>
      <c r="X35" s="74">
        <f>IF(M44=$U35,3*INDEX($N$11:$R$19,MATCH($U35,$M$11:$M$18,0),MATCH(X$5,$N$10:$R$10,0)),N$20-3*INDEX($N$11:$R$19,MATCH($U35,$M$11:$M$18,0),MATCH(X$5,$N$10:$R$10,0)))</f>
        <v>47</v>
      </c>
      <c r="Y35" s="74">
        <f>IF(N44=$U35,3*INDEX($N$11:$R$19,MATCH($U35,$M$11:$M$18,0),MATCH(Y$5,$N$10:$R$10,0)),O$20-3*INDEX($N$11:$R$19,MATCH($U35,$M$11:$M$18,0),MATCH(Y$5,$N$10:$R$10,0)))</f>
        <v>3</v>
      </c>
      <c r="Z35" s="74">
        <f>IF(O44=$U35,3*INDEX($N$11:$R$19,MATCH($U35,$M$11:$M$18,0),MATCH(Z$5,$N$10:$R$10,0)),P$20-3*INDEX($N$11:$R$19,MATCH($U35,$M$11:$M$18,0),MATCH(Z$5,$N$10:$R$10,0)))</f>
        <v>44</v>
      </c>
      <c r="AA35" s="74">
        <f>IF(P44=$U35,3*INDEX($N$11:$R$19,MATCH($U35,$M$11:$M$18,0),MATCH(AA$5,$N$10:$R$10,0)),Q$20-3*INDEX($N$11:$R$19,MATCH($U35,$M$11:$M$18,0),MATCH(AA$5,$N$10:$R$10,0)))</f>
        <v>6</v>
      </c>
      <c r="AB35" s="74">
        <f>IF(Q44=$U35,3*INDEX($N$11:$R$19,MATCH($U35,$M$11:$M$18,0),MATCH(AB$5,$N$10:$R$10,0)),R$20-3*INDEX($N$11:$R$19,MATCH($U35,$M$11:$M$18,0),MATCH(AB$5,$N$10:$R$10,0)))</f>
        <v>3</v>
      </c>
      <c r="AC35" s="74">
        <f t="shared" si="1"/>
        <v>1116720</v>
      </c>
      <c r="AD35" s="74">
        <f t="shared" si="18"/>
        <v>111672</v>
      </c>
      <c r="AE35" s="75">
        <f>(AD35/$AD$43)*W35</f>
        <v>3.5735039999999999E-3</v>
      </c>
    </row>
    <row r="36" spans="7:42" ht="14.45" customHeight="1">
      <c r="G36" s="37" t="s">
        <v>31</v>
      </c>
      <c r="H36" s="37" t="s">
        <v>35</v>
      </c>
      <c r="I36" s="37" t="s">
        <v>35</v>
      </c>
      <c r="J36" s="37" t="s">
        <v>37</v>
      </c>
      <c r="K36" s="37" t="s">
        <v>37</v>
      </c>
      <c r="L36" s="34"/>
      <c r="M36" s="45" t="s">
        <v>40</v>
      </c>
      <c r="N36" s="45" t="s">
        <v>40</v>
      </c>
      <c r="O36" s="45" t="s">
        <v>40</v>
      </c>
      <c r="P36" s="45" t="s">
        <v>40</v>
      </c>
      <c r="Q36" s="45" t="s">
        <v>40</v>
      </c>
      <c r="R36" s="34"/>
      <c r="U36" s="45" t="s">
        <v>40</v>
      </c>
      <c r="V36" s="73">
        <v>3</v>
      </c>
      <c r="W36" s="20">
        <f>'Game Description'!$C$23</f>
        <v>10</v>
      </c>
      <c r="X36" s="74">
        <f>IF(M45=$U36,3*INDEX($N$11:$R$19,MATCH($U36,$M$11:$M$18,0),MATCH(X$5,$N$10:$R$10,0)),N$20-3*INDEX($N$11:$R$19,MATCH($U36,$M$11:$M$18,0),MATCH(X$5,$N$10:$R$10,0)))</f>
        <v>3</v>
      </c>
      <c r="Y36" s="74">
        <f>IF(N45=$U36,3*INDEX($N$11:$R$19,MATCH($U36,$M$11:$M$18,0),MATCH(Y$5,$N$10:$R$10,0)),O$20-3*INDEX($N$11:$R$19,MATCH($U36,$M$11:$M$18,0),MATCH(Y$5,$N$10:$R$10,0)))</f>
        <v>47</v>
      </c>
      <c r="Z36" s="74">
        <f>IF(O45=$U36,3*INDEX($N$11:$R$19,MATCH($U36,$M$11:$M$18,0),MATCH(Z$5,$N$10:$R$10,0)),P$20-3*INDEX($N$11:$R$19,MATCH($U36,$M$11:$M$18,0),MATCH(Z$5,$N$10:$R$10,0)))</f>
        <v>6</v>
      </c>
      <c r="AA36" s="74">
        <f>IF(P45=$U36,3*INDEX($N$11:$R$19,MATCH($U36,$M$11:$M$18,0),MATCH(AA$5,$N$10:$R$10,0)),Q$20-3*INDEX($N$11:$R$19,MATCH($U36,$M$11:$M$18,0),MATCH(AA$5,$N$10:$R$10,0)))</f>
        <v>44</v>
      </c>
      <c r="AB36" s="74">
        <f>IF(Q45=$U36,3*INDEX($N$11:$R$19,MATCH($U36,$M$11:$M$18,0),MATCH(AB$5,$N$10:$R$10,0)),R$20-3*INDEX($N$11:$R$19,MATCH($U36,$M$11:$M$18,0),MATCH(AB$5,$N$10:$R$10,0)))</f>
        <v>3</v>
      </c>
      <c r="AC36" s="74">
        <f t="shared" si="1"/>
        <v>1116720</v>
      </c>
      <c r="AD36" s="74">
        <f t="shared" si="18"/>
        <v>111672</v>
      </c>
      <c r="AE36" s="75">
        <f>(AD36/$AD$43)*W36</f>
        <v>3.5735039999999999E-3</v>
      </c>
    </row>
    <row r="37" spans="7:42" ht="14.45" customHeight="1">
      <c r="G37" s="37" t="s">
        <v>35</v>
      </c>
      <c r="H37" s="43" t="s">
        <v>37</v>
      </c>
      <c r="I37" s="37" t="s">
        <v>37</v>
      </c>
      <c r="J37" s="37" t="s">
        <v>29</v>
      </c>
      <c r="K37" s="37" t="s">
        <v>33</v>
      </c>
      <c r="L37" s="34"/>
      <c r="M37" s="45" t="s">
        <v>40</v>
      </c>
      <c r="N37" s="45" t="s">
        <v>40</v>
      </c>
      <c r="O37" s="45" t="s">
        <v>40</v>
      </c>
      <c r="P37" s="45" t="s">
        <v>40</v>
      </c>
      <c r="Q37" s="73" t="s">
        <v>97</v>
      </c>
      <c r="R37" s="34"/>
      <c r="U37" s="45" t="s">
        <v>40</v>
      </c>
      <c r="V37" s="73">
        <v>3</v>
      </c>
      <c r="W37" s="20">
        <f>'Game Description'!$C$23</f>
        <v>10</v>
      </c>
      <c r="X37" s="74">
        <f>IF(M46=$U37,3*INDEX($N$11:$R$19,MATCH($U37,$M$11:$M$18,0),MATCH(X$5,$N$10:$R$10,0)),N$20-3*INDEX($N$11:$R$19,MATCH($U37,$M$11:$M$18,0),MATCH(X$5,$N$10:$R$10,0)))</f>
        <v>3</v>
      </c>
      <c r="Y37" s="74">
        <f>IF(N46=$U37,3*INDEX($N$11:$R$19,MATCH($U37,$M$11:$M$18,0),MATCH(Y$5,$N$10:$R$10,0)),O$20-3*INDEX($N$11:$R$19,MATCH($U37,$M$11:$M$18,0),MATCH(Y$5,$N$10:$R$10,0)))</f>
        <v>3</v>
      </c>
      <c r="Z37" s="74">
        <f>IF(O46=$U37,3*INDEX($N$11:$R$19,MATCH($U37,$M$11:$M$18,0),MATCH(Z$5,$N$10:$R$10,0)),P$20-3*INDEX($N$11:$R$19,MATCH($U37,$M$11:$M$18,0),MATCH(Z$5,$N$10:$R$10,0)))</f>
        <v>44</v>
      </c>
      <c r="AA37" s="74">
        <f>IF(P46=$U37,3*INDEX($N$11:$R$19,MATCH($U37,$M$11:$M$18,0),MATCH(AA$5,$N$10:$R$10,0)),Q$20-3*INDEX($N$11:$R$19,MATCH($U37,$M$11:$M$18,0),MATCH(AA$5,$N$10:$R$10,0)))</f>
        <v>6</v>
      </c>
      <c r="AB37" s="74">
        <f>IF(Q46=$U37,3*INDEX($N$11:$R$19,MATCH($U37,$M$11:$M$18,0),MATCH(AB$5,$N$10:$R$10,0)),R$20-3*INDEX($N$11:$R$19,MATCH($U37,$M$11:$M$18,0),MATCH(AB$5,$N$10:$R$10,0)))</f>
        <v>47</v>
      </c>
      <c r="AC37" s="74">
        <f t="shared" si="1"/>
        <v>1116720</v>
      </c>
      <c r="AD37" s="74">
        <f t="shared" si="18"/>
        <v>111672</v>
      </c>
      <c r="AE37" s="75">
        <f>(AD37/$AD$43)*W37</f>
        <v>3.5735039999999999E-3</v>
      </c>
      <c r="AI37" s="90" t="s">
        <v>104</v>
      </c>
      <c r="AJ37" s="90"/>
      <c r="AK37">
        <f>AC43+AP30</f>
        <v>627277050</v>
      </c>
      <c r="AN37" s="90" t="s">
        <v>114</v>
      </c>
      <c r="AO37" s="90"/>
      <c r="AP37">
        <f>AD43/SUM(AD27:AD42)</f>
        <v>208.48177235525029</v>
      </c>
    </row>
    <row r="38" spans="7:42" ht="14.45" customHeight="1">
      <c r="G38" s="37" t="s">
        <v>35</v>
      </c>
      <c r="H38" s="37" t="s">
        <v>37</v>
      </c>
      <c r="I38" s="37" t="s">
        <v>33</v>
      </c>
      <c r="J38" s="37" t="s">
        <v>29</v>
      </c>
      <c r="K38" s="37" t="s">
        <v>33</v>
      </c>
      <c r="L38" s="34"/>
      <c r="M38" s="73" t="s">
        <v>40</v>
      </c>
      <c r="N38" s="73" t="s">
        <v>40</v>
      </c>
      <c r="O38" s="73" t="s">
        <v>40</v>
      </c>
      <c r="P38" s="73" t="s">
        <v>97</v>
      </c>
      <c r="Q38" s="73" t="s">
        <v>40</v>
      </c>
      <c r="R38" s="34"/>
      <c r="U38" s="45" t="s">
        <v>40</v>
      </c>
      <c r="V38" s="73">
        <v>3</v>
      </c>
      <c r="W38" s="20">
        <f>'Game Description'!$C$23</f>
        <v>10</v>
      </c>
      <c r="X38" s="74">
        <f>IF(M47=$U38,3*INDEX($N$11:$R$19,MATCH($U38,$M$11:$M$18,0),MATCH(X$5,$N$10:$R$10,0)),N$20-3*INDEX($N$11:$R$19,MATCH($U38,$M$11:$M$18,0),MATCH(X$5,$N$10:$R$10,0)))</f>
        <v>47</v>
      </c>
      <c r="Y38" s="74">
        <f>IF(N47=$U38,3*INDEX($N$11:$R$19,MATCH($U38,$M$11:$M$18,0),MATCH(Y$5,$N$10:$R$10,0)),O$20-3*INDEX($N$11:$R$19,MATCH($U38,$M$11:$M$18,0),MATCH(Y$5,$N$10:$R$10,0)))</f>
        <v>3</v>
      </c>
      <c r="Z38" s="74">
        <f>IF(O47=$U38,3*INDEX($N$11:$R$19,MATCH($U38,$M$11:$M$18,0),MATCH(Z$5,$N$10:$R$10,0)),P$20-3*INDEX($N$11:$R$19,MATCH($U38,$M$11:$M$18,0),MATCH(Z$5,$N$10:$R$10,0)))</f>
        <v>6</v>
      </c>
      <c r="AA38" s="74">
        <f>IF(P47=$U38,3*INDEX($N$11:$R$19,MATCH($U38,$M$11:$M$18,0),MATCH(AA$5,$N$10:$R$10,0)),Q$20-3*INDEX($N$11:$R$19,MATCH($U38,$M$11:$M$18,0),MATCH(AA$5,$N$10:$R$10,0)))</f>
        <v>44</v>
      </c>
      <c r="AB38" s="74">
        <f>IF(Q47=$U38,3*INDEX($N$11:$R$19,MATCH($U38,$M$11:$M$18,0),MATCH(AB$5,$N$10:$R$10,0)),R$20-3*INDEX($N$11:$R$19,MATCH($U38,$M$11:$M$18,0),MATCH(AB$5,$N$10:$R$10,0)))</f>
        <v>3</v>
      </c>
      <c r="AC38" s="74">
        <f t="shared" si="1"/>
        <v>1116720</v>
      </c>
      <c r="AD38" s="74">
        <f t="shared" si="18"/>
        <v>111672</v>
      </c>
      <c r="AE38" s="75">
        <f>(AD38/$AD$43)*W38</f>
        <v>3.5735039999999999E-3</v>
      </c>
      <c r="AI38" s="90" t="s">
        <v>105</v>
      </c>
      <c r="AJ38" s="90"/>
      <c r="AK38">
        <f>AD43</f>
        <v>312500000</v>
      </c>
      <c r="AN38" s="90" t="s">
        <v>106</v>
      </c>
      <c r="AO38" s="90"/>
      <c r="AP38">
        <f>10/(1-(1/AP37)*AA3)</f>
        <v>10.503824602195794</v>
      </c>
    </row>
    <row r="39" spans="7:42" ht="14.45" customHeight="1">
      <c r="G39" s="37" t="s">
        <v>37</v>
      </c>
      <c r="H39" s="37" t="s">
        <v>35</v>
      </c>
      <c r="I39" s="37" t="s">
        <v>35</v>
      </c>
      <c r="J39" s="81" t="s">
        <v>25</v>
      </c>
      <c r="K39" s="37" t="s">
        <v>33</v>
      </c>
      <c r="L39" s="34"/>
      <c r="M39" s="73" t="s">
        <v>40</v>
      </c>
      <c r="N39" s="73" t="s">
        <v>40</v>
      </c>
      <c r="O39" s="76" t="s">
        <v>97</v>
      </c>
      <c r="P39" s="73" t="s">
        <v>40</v>
      </c>
      <c r="Q39" s="73" t="s">
        <v>40</v>
      </c>
      <c r="R39" s="34"/>
      <c r="U39" s="45" t="s">
        <v>40</v>
      </c>
      <c r="V39" s="73">
        <v>3</v>
      </c>
      <c r="W39" s="20">
        <f>'Game Description'!$C$23</f>
        <v>10</v>
      </c>
      <c r="X39" s="74">
        <f>IF(M48=$U39,3*INDEX($N$11:$R$19,MATCH($U39,$M$11:$M$18,0),MATCH(X$5,$N$10:$R$10,0)),N$20-3*INDEX($N$11:$R$19,MATCH($U39,$M$11:$M$18,0),MATCH(X$5,$N$10:$R$10,0)))</f>
        <v>3</v>
      </c>
      <c r="Y39" s="74">
        <f>IF(N48=$U39,3*INDEX($N$11:$R$19,MATCH($U39,$M$11:$M$18,0),MATCH(Y$5,$N$10:$R$10,0)),O$20-3*INDEX($N$11:$R$19,MATCH($U39,$M$11:$M$18,0),MATCH(Y$5,$N$10:$R$10,0)))</f>
        <v>3</v>
      </c>
      <c r="Z39" s="74">
        <f>IF(O48=$U39,3*INDEX($N$11:$R$19,MATCH($U39,$M$11:$M$18,0),MATCH(Z$5,$N$10:$R$10,0)),P$20-3*INDEX($N$11:$R$19,MATCH($U39,$M$11:$M$18,0),MATCH(Z$5,$N$10:$R$10,0)))</f>
        <v>44</v>
      </c>
      <c r="AA39" s="74">
        <f>IF(P48=$U39,3*INDEX($N$11:$R$19,MATCH($U39,$M$11:$M$18,0),MATCH(AA$5,$N$10:$R$10,0)),Q$20-3*INDEX($N$11:$R$19,MATCH($U39,$M$11:$M$18,0),MATCH(AA$5,$N$10:$R$10,0)))</f>
        <v>44</v>
      </c>
      <c r="AB39" s="74">
        <f>IF(Q48=$U39,3*INDEX($N$11:$R$19,MATCH($U39,$M$11:$M$18,0),MATCH(AB$5,$N$10:$R$10,0)),R$20-3*INDEX($N$11:$R$19,MATCH($U39,$M$11:$M$18,0),MATCH(AB$5,$N$10:$R$10,0)))</f>
        <v>3</v>
      </c>
      <c r="AC39" s="74">
        <f t="shared" si="1"/>
        <v>522720</v>
      </c>
      <c r="AD39" s="74">
        <f t="shared" si="18"/>
        <v>52272</v>
      </c>
      <c r="AE39" s="75">
        <f>(AD39/$AD$43)*W39</f>
        <v>1.6727039999999999E-3</v>
      </c>
      <c r="AI39" s="91" t="s">
        <v>115</v>
      </c>
      <c r="AJ39" s="91"/>
      <c r="AK39">
        <f>AC61</f>
        <v>210263040</v>
      </c>
      <c r="AP39" s="79"/>
    </row>
    <row r="40" spans="7:42" ht="14.45" customHeight="1">
      <c r="G40" s="43" t="s">
        <v>37</v>
      </c>
      <c r="H40" s="37" t="s">
        <v>33</v>
      </c>
      <c r="I40" s="37" t="s">
        <v>31</v>
      </c>
      <c r="J40" s="37" t="s">
        <v>29</v>
      </c>
      <c r="K40" s="37" t="s">
        <v>27</v>
      </c>
      <c r="L40" s="34"/>
      <c r="M40" s="73" t="s">
        <v>40</v>
      </c>
      <c r="N40" s="76" t="s">
        <v>97</v>
      </c>
      <c r="O40" s="73" t="s">
        <v>40</v>
      </c>
      <c r="P40" s="73" t="s">
        <v>40</v>
      </c>
      <c r="Q40" s="73" t="s">
        <v>40</v>
      </c>
      <c r="R40" s="34"/>
      <c r="U40" s="45" t="s">
        <v>40</v>
      </c>
      <c r="V40" s="73">
        <v>3</v>
      </c>
      <c r="W40" s="20">
        <f>'Game Description'!$C$23</f>
        <v>10</v>
      </c>
      <c r="X40" s="74">
        <f>IF(M49=$U40,3*INDEX($N$11:$R$19,MATCH($U40,$M$11:$M$18,0),MATCH(X$5,$N$10:$R$10,0)),N$20-3*INDEX($N$11:$R$19,MATCH($U40,$M$11:$M$18,0),MATCH(X$5,$N$10:$R$10,0)))</f>
        <v>3</v>
      </c>
      <c r="Y40" s="74">
        <f>IF(N49=$U40,3*INDEX($N$11:$R$19,MATCH($U40,$M$11:$M$18,0),MATCH(Y$5,$N$10:$R$10,0)),O$20-3*INDEX($N$11:$R$19,MATCH($U40,$M$11:$M$18,0),MATCH(Y$5,$N$10:$R$10,0)))</f>
        <v>47</v>
      </c>
      <c r="Z40" s="74">
        <f>IF(O49=$U40,3*INDEX($N$11:$R$19,MATCH($U40,$M$11:$M$18,0),MATCH(Z$5,$N$10:$R$10,0)),P$20-3*INDEX($N$11:$R$19,MATCH($U40,$M$11:$M$18,0),MATCH(Z$5,$N$10:$R$10,0)))</f>
        <v>44</v>
      </c>
      <c r="AA40" s="74">
        <f>IF(P49=$U40,3*INDEX($N$11:$R$19,MATCH($U40,$M$11:$M$18,0),MATCH(AA$5,$N$10:$R$10,0)),Q$20-3*INDEX($N$11:$R$19,MATCH($U40,$M$11:$M$18,0),MATCH(AA$5,$N$10:$R$10,0)))</f>
        <v>6</v>
      </c>
      <c r="AB40" s="74">
        <f>IF(Q49=$U40,3*INDEX($N$11:$R$19,MATCH($U40,$M$11:$M$18,0),MATCH(AB$5,$N$10:$R$10,0)),R$20-3*INDEX($N$11:$R$19,MATCH($U40,$M$11:$M$18,0),MATCH(AB$5,$N$10:$R$10,0)))</f>
        <v>3</v>
      </c>
      <c r="AC40" s="74">
        <f t="shared" si="1"/>
        <v>1116720</v>
      </c>
      <c r="AD40" s="74">
        <f t="shared" si="18"/>
        <v>111672</v>
      </c>
      <c r="AE40" s="75">
        <f>(AD40/$AD$43)*W40</f>
        <v>3.5735039999999999E-3</v>
      </c>
      <c r="AI40" s="90" t="s">
        <v>116</v>
      </c>
      <c r="AJ40" s="90"/>
      <c r="AK40">
        <f>AD61</f>
        <v>7962624</v>
      </c>
      <c r="AO40" s="79"/>
    </row>
    <row r="41" spans="7:42" ht="14.45" customHeight="1">
      <c r="G41" s="37" t="s">
        <v>33</v>
      </c>
      <c r="H41" s="37" t="s">
        <v>33</v>
      </c>
      <c r="I41" s="37" t="s">
        <v>33</v>
      </c>
      <c r="J41" s="37" t="s">
        <v>37</v>
      </c>
      <c r="K41" s="37" t="s">
        <v>27</v>
      </c>
      <c r="L41" s="34"/>
      <c r="M41" s="76" t="s">
        <v>97</v>
      </c>
      <c r="N41" s="73" t="s">
        <v>40</v>
      </c>
      <c r="O41" s="73" t="s">
        <v>40</v>
      </c>
      <c r="P41" s="73" t="s">
        <v>40</v>
      </c>
      <c r="Q41" s="73" t="s">
        <v>40</v>
      </c>
      <c r="R41" s="34"/>
      <c r="U41" s="45" t="s">
        <v>40</v>
      </c>
      <c r="V41" s="73">
        <v>3</v>
      </c>
      <c r="W41" s="20">
        <f>'Game Description'!$C$23</f>
        <v>10</v>
      </c>
      <c r="X41" s="74">
        <f>IF(M50=$U41,3*INDEX($N$11:$R$19,MATCH($U41,$M$11:$M$18,0),MATCH(X$5,$N$10:$R$10,0)),N$20-3*INDEX($N$11:$R$19,MATCH($U41,$M$11:$M$18,0),MATCH(X$5,$N$10:$R$10,0)))</f>
        <v>47</v>
      </c>
      <c r="Y41" s="74">
        <f>IF(N50=$U41,3*INDEX($N$11:$R$19,MATCH($U41,$M$11:$M$18,0),MATCH(Y$5,$N$10:$R$10,0)),O$20-3*INDEX($N$11:$R$19,MATCH($U41,$M$11:$M$18,0),MATCH(Y$5,$N$10:$R$10,0)))</f>
        <v>47</v>
      </c>
      <c r="Z41" s="74">
        <f>IF(O50=$U41,3*INDEX($N$11:$R$19,MATCH($U41,$M$11:$M$18,0),MATCH(Z$5,$N$10:$R$10,0)),P$20-3*INDEX($N$11:$R$19,MATCH($U41,$M$11:$M$18,0),MATCH(Z$5,$N$10:$R$10,0)))</f>
        <v>6</v>
      </c>
      <c r="AA41" s="74">
        <f>IF(P50=$U41,3*INDEX($N$11:$R$19,MATCH($U41,$M$11:$M$18,0),MATCH(AA$5,$N$10:$R$10,0)),Q$20-3*INDEX($N$11:$R$19,MATCH($U41,$M$11:$M$18,0),MATCH(AA$5,$N$10:$R$10,0)))</f>
        <v>6</v>
      </c>
      <c r="AB41" s="74">
        <f>IF(Q50=$U41,3*INDEX($N$11:$R$19,MATCH($U41,$M$11:$M$18,0),MATCH(AB$5,$N$10:$R$10,0)),R$20-3*INDEX($N$11:$R$19,MATCH($U41,$M$11:$M$18,0),MATCH(AB$5,$N$10:$R$10,0)))</f>
        <v>3</v>
      </c>
      <c r="AC41" s="74">
        <f t="shared" si="1"/>
        <v>2385720</v>
      </c>
      <c r="AD41" s="74">
        <f t="shared" si="18"/>
        <v>238572</v>
      </c>
      <c r="AE41" s="75">
        <f>(AD41/$AD$43)*W41</f>
        <v>7.6343039999999997E-3</v>
      </c>
      <c r="AI41" s="90" t="s">
        <v>117</v>
      </c>
      <c r="AJ41" s="90"/>
      <c r="AK41">
        <f>AK39/AK40</f>
        <v>26.40625</v>
      </c>
    </row>
    <row r="42" spans="7:42" ht="14.45" customHeight="1">
      <c r="G42" s="37" t="s">
        <v>33</v>
      </c>
      <c r="H42" s="37" t="s">
        <v>33</v>
      </c>
      <c r="I42" s="37" t="s">
        <v>29</v>
      </c>
      <c r="J42" s="37" t="s">
        <v>33</v>
      </c>
      <c r="K42" s="81" t="s">
        <v>27</v>
      </c>
      <c r="L42" s="34"/>
      <c r="M42" s="73" t="s">
        <v>97</v>
      </c>
      <c r="N42" s="73" t="s">
        <v>40</v>
      </c>
      <c r="O42" s="73" t="s">
        <v>40</v>
      </c>
      <c r="P42" s="73" t="s">
        <v>40</v>
      </c>
      <c r="Q42" s="73" t="s">
        <v>97</v>
      </c>
      <c r="R42" s="34"/>
      <c r="U42" s="45" t="s">
        <v>40</v>
      </c>
      <c r="V42" s="73">
        <v>3</v>
      </c>
      <c r="W42" s="20">
        <f>'Game Description'!$C$23</f>
        <v>10</v>
      </c>
      <c r="X42" s="74">
        <f>IF(M51=$U42,3*INDEX($N$11:$R$19,MATCH($U42,$M$11:$M$18,0),MATCH(X$5,$N$10:$R$10,0)),N$20-3*INDEX($N$11:$R$19,MATCH($U42,$M$11:$M$18,0),MATCH(X$5,$N$10:$R$10,0)))</f>
        <v>3</v>
      </c>
      <c r="Y42" s="74">
        <f>IF(N51=$U42,3*INDEX($N$11:$R$19,MATCH($U42,$M$11:$M$18,0),MATCH(Y$5,$N$10:$R$10,0)),O$20-3*INDEX($N$11:$R$19,MATCH($U42,$M$11:$M$18,0),MATCH(Y$5,$N$10:$R$10,0)))</f>
        <v>3</v>
      </c>
      <c r="Z42" s="74">
        <f>IF(O51=$U42,3*INDEX($N$11:$R$19,MATCH($U42,$M$11:$M$18,0),MATCH(Z$5,$N$10:$R$10,0)),P$20-3*INDEX($N$11:$R$19,MATCH($U42,$M$11:$M$18,0),MATCH(Z$5,$N$10:$R$10,0)))</f>
        <v>6</v>
      </c>
      <c r="AA42" s="74">
        <f>IF(P51=$U42,3*INDEX($N$11:$R$19,MATCH($U42,$M$11:$M$18,0),MATCH(AA$5,$N$10:$R$10,0)),Q$20-3*INDEX($N$11:$R$19,MATCH($U42,$M$11:$M$18,0),MATCH(AA$5,$N$10:$R$10,0)))</f>
        <v>44</v>
      </c>
      <c r="AB42" s="74">
        <f>IF(Q51=$U42,3*INDEX($N$11:$R$19,MATCH($U42,$M$11:$M$18,0),MATCH(AB$5,$N$10:$R$10,0)),R$20-3*INDEX($N$11:$R$19,MATCH($U42,$M$11:$M$18,0),MATCH(AB$5,$N$10:$R$10,0)))</f>
        <v>47</v>
      </c>
      <c r="AC42" s="74">
        <f t="shared" si="1"/>
        <v>1116720</v>
      </c>
      <c r="AD42" s="74">
        <f t="shared" si="18"/>
        <v>111672</v>
      </c>
      <c r="AE42" s="75">
        <f>(AD42/$AD$43)*W42</f>
        <v>3.5735039999999999E-3</v>
      </c>
    </row>
    <row r="43" spans="7:42" ht="14.45" customHeight="1">
      <c r="G43" s="37" t="s">
        <v>33</v>
      </c>
      <c r="H43" s="37" t="s">
        <v>29</v>
      </c>
      <c r="I43" s="37" t="s">
        <v>29</v>
      </c>
      <c r="J43" s="37" t="s">
        <v>33</v>
      </c>
      <c r="K43" s="37" t="s">
        <v>23</v>
      </c>
      <c r="L43" s="34"/>
      <c r="M43" s="73" t="s">
        <v>40</v>
      </c>
      <c r="N43" s="73" t="s">
        <v>97</v>
      </c>
      <c r="O43" s="73" t="s">
        <v>40</v>
      </c>
      <c r="P43" s="73" t="s">
        <v>40</v>
      </c>
      <c r="Q43" s="73" t="s">
        <v>97</v>
      </c>
      <c r="R43" s="34"/>
      <c r="AC43">
        <f>SUM(AC6:AC42)</f>
        <v>543307710</v>
      </c>
      <c r="AD43" s="77">
        <f>PRODUCT(N20:R20)</f>
        <v>312500000</v>
      </c>
      <c r="AE43" s="83">
        <f>SUM(AE6:AE42)</f>
        <v>1.7385846720000002</v>
      </c>
      <c r="AF43" s="78">
        <f>SUM(AE27:AE42)</f>
        <v>5.7162239999999989E-2</v>
      </c>
      <c r="AG43" s="83"/>
    </row>
    <row r="44" spans="7:42" ht="14.45" customHeight="1">
      <c r="G44" s="37" t="s">
        <v>31</v>
      </c>
      <c r="H44" s="37" t="s">
        <v>29</v>
      </c>
      <c r="I44" s="37" t="s">
        <v>37</v>
      </c>
      <c r="J44" s="37" t="s">
        <v>33</v>
      </c>
      <c r="K44" s="37" t="s">
        <v>23</v>
      </c>
      <c r="L44" s="34"/>
      <c r="M44" s="73" t="s">
        <v>97</v>
      </c>
      <c r="N44" s="73" t="s">
        <v>40</v>
      </c>
      <c r="O44" s="73" t="s">
        <v>97</v>
      </c>
      <c r="P44" s="73" t="s">
        <v>40</v>
      </c>
      <c r="Q44" s="73" t="s">
        <v>40</v>
      </c>
      <c r="R44" s="34"/>
      <c r="S44" s="34"/>
      <c r="T44" s="34"/>
      <c r="AI44" s="90" t="s">
        <v>118</v>
      </c>
      <c r="AJ44" s="90"/>
      <c r="AK44">
        <f>AK37/AK38*AP38 + AK41</f>
        <v>47.49043595258496</v>
      </c>
      <c r="AL44">
        <f>50*0.95</f>
        <v>47.5</v>
      </c>
    </row>
    <row r="45" spans="7:42" ht="14.45" customHeight="1">
      <c r="G45" s="37" t="s">
        <v>31</v>
      </c>
      <c r="H45" s="37" t="s">
        <v>29</v>
      </c>
      <c r="I45" s="37" t="s">
        <v>37</v>
      </c>
      <c r="J45" s="37" t="s">
        <v>27</v>
      </c>
      <c r="K45" s="37" t="s">
        <v>23</v>
      </c>
      <c r="L45" s="34"/>
      <c r="M45" s="73" t="s">
        <v>40</v>
      </c>
      <c r="N45" s="73" t="s">
        <v>97</v>
      </c>
      <c r="O45" s="73" t="s">
        <v>40</v>
      </c>
      <c r="P45" s="73" t="s">
        <v>97</v>
      </c>
      <c r="Q45" s="73" t="s">
        <v>40</v>
      </c>
      <c r="R45" s="34"/>
      <c r="S45" s="34"/>
      <c r="T45" s="34"/>
      <c r="U45" s="45" t="s">
        <v>40</v>
      </c>
      <c r="V45" s="73">
        <v>5</v>
      </c>
      <c r="W45" s="20">
        <f>'Game Description'!$E$23</f>
        <v>500</v>
      </c>
      <c r="X45" s="74">
        <f>IF($U45=M36,3*INDEX($N$24:$R$32,MATCH($U45,$M$24:$M$32,0),MATCH(X$5,$N$23:$R$23,0)),N$33-3*INDEX($N$24:$R$32,MATCH($U45,$M$24:$M$32,0),MATCH(X$5,$N$23:$R$23,0)))</f>
        <v>24</v>
      </c>
      <c r="Y45" s="74">
        <f t="shared" ref="Y45:AB45" si="20">IF($U45=N36,3*INDEX($N$24:$R$32,MATCH($U45,$M$24:$M$32,0),MATCH(Y$5,$N$23:$R$23,0)),O$33-3*INDEX($N$24:$R$32,MATCH($U45,$M$24:$M$32,0),MATCH(Y$5,$N$23:$R$23,0)))</f>
        <v>24</v>
      </c>
      <c r="Z45" s="74">
        <f t="shared" si="20"/>
        <v>24</v>
      </c>
      <c r="AA45" s="74">
        <f t="shared" si="20"/>
        <v>3</v>
      </c>
      <c r="AB45" s="74">
        <f t="shared" si="20"/>
        <v>3</v>
      </c>
      <c r="AC45" s="74">
        <f>AD45*W45</f>
        <v>62208000</v>
      </c>
      <c r="AD45" s="74">
        <f>PRODUCT(X45:AB45)</f>
        <v>124416</v>
      </c>
      <c r="AE45" s="80">
        <f>(AD45/$AD$61)*W45</f>
        <v>7.8125</v>
      </c>
    </row>
    <row r="46" spans="7:42" ht="14.45" customHeight="1">
      <c r="G46" s="37" t="s">
        <v>27</v>
      </c>
      <c r="H46" s="37" t="s">
        <v>29</v>
      </c>
      <c r="I46" s="37" t="s">
        <v>29</v>
      </c>
      <c r="J46" s="37" t="s">
        <v>27</v>
      </c>
      <c r="K46" s="37" t="s">
        <v>33</v>
      </c>
      <c r="L46" s="34"/>
      <c r="M46" s="73" t="s">
        <v>40</v>
      </c>
      <c r="N46" s="73" t="s">
        <v>40</v>
      </c>
      <c r="O46" s="73" t="s">
        <v>97</v>
      </c>
      <c r="P46" s="73" t="s">
        <v>40</v>
      </c>
      <c r="Q46" s="73" t="s">
        <v>97</v>
      </c>
      <c r="R46" s="34"/>
      <c r="S46" s="34"/>
      <c r="T46" s="34"/>
      <c r="U46" s="45" t="s">
        <v>40</v>
      </c>
      <c r="V46" s="73">
        <v>4</v>
      </c>
      <c r="W46" s="20">
        <f>'Game Description'!$D$23</f>
        <v>50</v>
      </c>
      <c r="X46" s="74">
        <f t="shared" ref="X46:X60" si="21">IF($U46=M37,3*INDEX($N$24:$R$32,MATCH($U46,$M$24:$M$32,0),MATCH(X$5,$N$23:$R$23,0)),N$33-3*INDEX($N$24:$R$32,MATCH($U46,$M$24:$M$32,0),MATCH(X$5,$N$23:$R$23,0)))</f>
        <v>24</v>
      </c>
      <c r="Y46" s="74">
        <f t="shared" ref="Y46:Y60" si="22">IF($U46=N37,3*INDEX($N$24:$R$32,MATCH($U46,$M$24:$M$32,0),MATCH(Y$5,$N$23:$R$23,0)),O$33-3*INDEX($N$24:$R$32,MATCH($U46,$M$24:$M$32,0),MATCH(Y$5,$N$23:$R$23,0)))</f>
        <v>24</v>
      </c>
      <c r="Z46" s="74">
        <f t="shared" ref="Z46:Z60" si="23">IF($U46=O37,3*INDEX($N$24:$R$32,MATCH($U46,$M$24:$M$32,0),MATCH(Z$5,$N$23:$R$23,0)),P$33-3*INDEX($N$24:$R$32,MATCH($U46,$M$24:$M$32,0),MATCH(Z$5,$N$23:$R$23,0)))</f>
        <v>24</v>
      </c>
      <c r="AA46" s="74">
        <f t="shared" ref="AA46:AA60" si="24">IF($U46=P37,3*INDEX($N$24:$R$32,MATCH($U46,$M$24:$M$32,0),MATCH(AA$5,$N$23:$R$23,0)),Q$33-3*INDEX($N$24:$R$32,MATCH($U46,$M$24:$M$32,0),MATCH(AA$5,$N$23:$R$23,0)))</f>
        <v>3</v>
      </c>
      <c r="AB46" s="74">
        <f t="shared" ref="AB46:AB60" si="25">IF($U46=Q37,3*INDEX($N$24:$R$32,MATCH($U46,$M$24:$M$32,0),MATCH(AB$5,$N$23:$R$23,0)),R$33-3*INDEX($N$24:$R$32,MATCH($U46,$M$24:$M$32,0),MATCH(AB$5,$N$23:$R$23,0)))</f>
        <v>21</v>
      </c>
      <c r="AC46" s="74">
        <f t="shared" ref="AC45:AC60" si="26">AD46*W46</f>
        <v>43545600</v>
      </c>
      <c r="AD46" s="74">
        <f t="shared" ref="AD46:AD60" si="27">PRODUCT(X46:AB46)</f>
        <v>870912</v>
      </c>
      <c r="AE46" s="80">
        <f t="shared" ref="AE46:AE60" si="28">(AD46/$AD$61)*W46</f>
        <v>5.46875</v>
      </c>
    </row>
    <row r="47" spans="7:42" ht="14.45" customHeight="1">
      <c r="G47" s="37" t="s">
        <v>25</v>
      </c>
      <c r="H47" s="37" t="s">
        <v>25</v>
      </c>
      <c r="I47" s="81" t="s">
        <v>29</v>
      </c>
      <c r="J47" s="37" t="s">
        <v>27</v>
      </c>
      <c r="K47" s="37" t="s">
        <v>25</v>
      </c>
      <c r="L47" s="34"/>
      <c r="M47" s="73" t="s">
        <v>97</v>
      </c>
      <c r="N47" s="73" t="s">
        <v>40</v>
      </c>
      <c r="O47" s="73" t="s">
        <v>40</v>
      </c>
      <c r="P47" s="73" t="s">
        <v>97</v>
      </c>
      <c r="Q47" s="73" t="s">
        <v>40</v>
      </c>
      <c r="R47" s="34"/>
      <c r="S47" s="34"/>
      <c r="T47" s="34"/>
      <c r="U47" s="45" t="s">
        <v>40</v>
      </c>
      <c r="V47" s="73">
        <v>4</v>
      </c>
      <c r="W47" s="20">
        <f>'Game Description'!$D$23</f>
        <v>50</v>
      </c>
      <c r="X47" s="74">
        <f t="shared" si="21"/>
        <v>24</v>
      </c>
      <c r="Y47" s="74">
        <f t="shared" si="22"/>
        <v>24</v>
      </c>
      <c r="Z47" s="74">
        <f t="shared" si="23"/>
        <v>24</v>
      </c>
      <c r="AA47" s="74">
        <f t="shared" si="24"/>
        <v>21</v>
      </c>
      <c r="AB47" s="74">
        <f t="shared" si="25"/>
        <v>3</v>
      </c>
      <c r="AC47" s="74">
        <f t="shared" si="26"/>
        <v>43545600</v>
      </c>
      <c r="AD47" s="74">
        <f t="shared" si="27"/>
        <v>870912</v>
      </c>
      <c r="AE47" s="80">
        <f t="shared" si="28"/>
        <v>5.46875</v>
      </c>
    </row>
    <row r="48" spans="7:42" ht="14.45" customHeight="1">
      <c r="G48" s="37" t="s">
        <v>25</v>
      </c>
      <c r="H48" s="37" t="s">
        <v>25</v>
      </c>
      <c r="I48" s="37" t="s">
        <v>35</v>
      </c>
      <c r="J48" s="37" t="s">
        <v>35</v>
      </c>
      <c r="K48" s="37" t="s">
        <v>25</v>
      </c>
      <c r="L48" s="34"/>
      <c r="M48" s="73" t="s">
        <v>40</v>
      </c>
      <c r="N48" s="73" t="s">
        <v>40</v>
      </c>
      <c r="O48" s="73" t="s">
        <v>97</v>
      </c>
      <c r="P48" s="73" t="s">
        <v>97</v>
      </c>
      <c r="Q48" s="73" t="s">
        <v>40</v>
      </c>
      <c r="R48" s="34"/>
      <c r="S48" s="34"/>
      <c r="T48" s="34"/>
      <c r="U48" s="45" t="s">
        <v>40</v>
      </c>
      <c r="V48" s="73">
        <v>4</v>
      </c>
      <c r="W48" s="20">
        <f>'Game Description'!$D$23</f>
        <v>50</v>
      </c>
      <c r="X48" s="74">
        <f t="shared" si="21"/>
        <v>24</v>
      </c>
      <c r="Y48" s="74">
        <f t="shared" si="22"/>
        <v>24</v>
      </c>
      <c r="Z48" s="74">
        <f t="shared" si="23"/>
        <v>0</v>
      </c>
      <c r="AA48" s="74">
        <f t="shared" si="24"/>
        <v>3</v>
      </c>
      <c r="AB48" s="74">
        <f t="shared" si="25"/>
        <v>3</v>
      </c>
      <c r="AC48" s="74">
        <f t="shared" si="26"/>
        <v>0</v>
      </c>
      <c r="AD48" s="74">
        <f t="shared" si="27"/>
        <v>0</v>
      </c>
      <c r="AE48" s="80">
        <f t="shared" si="28"/>
        <v>0</v>
      </c>
      <c r="AI48" t="s">
        <v>109</v>
      </c>
    </row>
    <row r="49" spans="7:31" ht="14.45" customHeight="1">
      <c r="G49" s="37" t="s">
        <v>35</v>
      </c>
      <c r="H49" s="37" t="s">
        <v>25</v>
      </c>
      <c r="I49" s="37" t="s">
        <v>35</v>
      </c>
      <c r="J49" s="37" t="s">
        <v>35</v>
      </c>
      <c r="K49" s="37" t="s">
        <v>37</v>
      </c>
      <c r="L49" s="34"/>
      <c r="M49" s="73" t="s">
        <v>40</v>
      </c>
      <c r="N49" s="73" t="s">
        <v>97</v>
      </c>
      <c r="O49" s="73" t="s">
        <v>97</v>
      </c>
      <c r="P49" s="73" t="s">
        <v>40</v>
      </c>
      <c r="Q49" s="73" t="s">
        <v>40</v>
      </c>
      <c r="R49" s="34"/>
      <c r="S49" s="34"/>
      <c r="T49" s="34"/>
      <c r="U49" s="45" t="s">
        <v>40</v>
      </c>
      <c r="V49" s="73">
        <v>4</v>
      </c>
      <c r="W49" s="20">
        <f>'Game Description'!$D$23</f>
        <v>50</v>
      </c>
      <c r="X49" s="74">
        <f t="shared" si="21"/>
        <v>24</v>
      </c>
      <c r="Y49" s="74">
        <f t="shared" si="22"/>
        <v>0</v>
      </c>
      <c r="Z49" s="74">
        <f t="shared" si="23"/>
        <v>24</v>
      </c>
      <c r="AA49" s="74">
        <f t="shared" si="24"/>
        <v>3</v>
      </c>
      <c r="AB49" s="74">
        <f t="shared" si="25"/>
        <v>3</v>
      </c>
      <c r="AC49" s="74">
        <f t="shared" si="26"/>
        <v>0</v>
      </c>
      <c r="AD49" s="74">
        <f t="shared" si="27"/>
        <v>0</v>
      </c>
      <c r="AE49" s="80">
        <f t="shared" si="28"/>
        <v>0</v>
      </c>
    </row>
    <row r="50" spans="7:31" ht="14.45" customHeight="1">
      <c r="G50" s="37" t="s">
        <v>33</v>
      </c>
      <c r="H50" s="37" t="s">
        <v>31</v>
      </c>
      <c r="I50" s="43" t="s">
        <v>31</v>
      </c>
      <c r="J50" s="37" t="s">
        <v>27</v>
      </c>
      <c r="K50" s="37" t="s">
        <v>29</v>
      </c>
      <c r="L50" s="34"/>
      <c r="M50" s="73" t="s">
        <v>97</v>
      </c>
      <c r="N50" s="73" t="s">
        <v>97</v>
      </c>
      <c r="O50" s="73" t="s">
        <v>40</v>
      </c>
      <c r="P50" s="73" t="s">
        <v>40</v>
      </c>
      <c r="Q50" s="73" t="s">
        <v>40</v>
      </c>
      <c r="R50" s="34"/>
      <c r="S50" s="34"/>
      <c r="T50" s="34"/>
      <c r="U50" s="45" t="s">
        <v>40</v>
      </c>
      <c r="V50" s="73">
        <v>4</v>
      </c>
      <c r="W50" s="20">
        <f>'Game Description'!$D$23</f>
        <v>50</v>
      </c>
      <c r="X50" s="74">
        <f>IF($U50=M41,3*INDEX($N$24:$R$32,MATCH($U50,$M$24:$M$32,0),MATCH(X$5,$N$23:$R$23,0)),N$33-3*INDEX($N$24:$R$32,MATCH($U50,$M$24:$M$32,0),MATCH(X$5,$N$23:$R$23,0)))</f>
        <v>0</v>
      </c>
      <c r="Y50" s="74">
        <f t="shared" si="22"/>
        <v>24</v>
      </c>
      <c r="Z50" s="74">
        <f t="shared" si="23"/>
        <v>24</v>
      </c>
      <c r="AA50" s="74">
        <f t="shared" si="24"/>
        <v>3</v>
      </c>
      <c r="AB50" s="74">
        <f t="shared" si="25"/>
        <v>3</v>
      </c>
      <c r="AC50" s="74">
        <f t="shared" si="26"/>
        <v>0</v>
      </c>
      <c r="AD50" s="74">
        <f t="shared" si="27"/>
        <v>0</v>
      </c>
      <c r="AE50" s="80">
        <f t="shared" si="28"/>
        <v>0</v>
      </c>
    </row>
    <row r="51" spans="7:31" ht="14.45" customHeight="1">
      <c r="G51" s="37" t="s">
        <v>35</v>
      </c>
      <c r="H51" s="43" t="s">
        <v>37</v>
      </c>
      <c r="I51" s="37" t="s">
        <v>31</v>
      </c>
      <c r="J51" s="37" t="s">
        <v>33</v>
      </c>
      <c r="K51" s="37" t="s">
        <v>27</v>
      </c>
      <c r="L51" s="34"/>
      <c r="M51" s="73" t="s">
        <v>40</v>
      </c>
      <c r="N51" s="73" t="s">
        <v>40</v>
      </c>
      <c r="O51" s="73" t="s">
        <v>40</v>
      </c>
      <c r="P51" s="73" t="s">
        <v>97</v>
      </c>
      <c r="Q51" s="73" t="s">
        <v>97</v>
      </c>
      <c r="R51" s="34"/>
      <c r="S51" s="34"/>
      <c r="T51" s="34"/>
      <c r="U51" s="45" t="s">
        <v>40</v>
      </c>
      <c r="V51" s="73">
        <v>3</v>
      </c>
      <c r="W51" s="20">
        <f>'Game Description'!$C$23</f>
        <v>10</v>
      </c>
      <c r="X51" s="74">
        <f t="shared" si="21"/>
        <v>0</v>
      </c>
      <c r="Y51" s="74">
        <f t="shared" si="22"/>
        <v>24</v>
      </c>
      <c r="Z51" s="74">
        <f t="shared" si="23"/>
        <v>24</v>
      </c>
      <c r="AA51" s="74">
        <f t="shared" si="24"/>
        <v>3</v>
      </c>
      <c r="AB51" s="74">
        <f t="shared" si="25"/>
        <v>21</v>
      </c>
      <c r="AC51" s="74">
        <f t="shared" si="26"/>
        <v>0</v>
      </c>
      <c r="AD51" s="74">
        <f t="shared" si="27"/>
        <v>0</v>
      </c>
      <c r="AE51" s="80">
        <f t="shared" si="28"/>
        <v>0</v>
      </c>
    </row>
    <row r="52" spans="7:31" ht="14.45" customHeight="1">
      <c r="G52" s="37" t="s">
        <v>35</v>
      </c>
      <c r="H52" s="37" t="s">
        <v>35</v>
      </c>
      <c r="I52" s="37" t="s">
        <v>27</v>
      </c>
      <c r="J52" s="37" t="s">
        <v>31</v>
      </c>
      <c r="K52" s="37" t="s">
        <v>27</v>
      </c>
      <c r="L52" s="34"/>
      <c r="M52" s="34"/>
      <c r="N52" s="34"/>
      <c r="O52" s="34"/>
      <c r="P52" s="34"/>
      <c r="Q52" s="34"/>
      <c r="R52" s="34"/>
      <c r="S52" s="34"/>
      <c r="T52" s="34"/>
      <c r="U52" s="45" t="s">
        <v>40</v>
      </c>
      <c r="V52" s="73">
        <v>3</v>
      </c>
      <c r="W52" s="20">
        <f>'Game Description'!$C$23</f>
        <v>10</v>
      </c>
      <c r="X52" s="74">
        <f t="shared" si="21"/>
        <v>24</v>
      </c>
      <c r="Y52" s="74">
        <f t="shared" si="22"/>
        <v>0</v>
      </c>
      <c r="Z52" s="74">
        <f t="shared" si="23"/>
        <v>24</v>
      </c>
      <c r="AA52" s="74">
        <f t="shared" si="24"/>
        <v>3</v>
      </c>
      <c r="AB52" s="74">
        <f t="shared" si="25"/>
        <v>21</v>
      </c>
      <c r="AC52" s="74">
        <f t="shared" si="26"/>
        <v>0</v>
      </c>
      <c r="AD52" s="74">
        <f t="shared" si="27"/>
        <v>0</v>
      </c>
      <c r="AE52" s="80">
        <f t="shared" si="28"/>
        <v>0</v>
      </c>
    </row>
    <row r="53" spans="7:31" ht="14.45" customHeight="1">
      <c r="L53" s="34"/>
      <c r="M53" s="34"/>
      <c r="N53" s="34"/>
      <c r="O53" s="34"/>
      <c r="R53" s="34"/>
      <c r="S53" s="34"/>
      <c r="T53" s="34"/>
      <c r="U53" s="45" t="s">
        <v>40</v>
      </c>
      <c r="V53" s="73">
        <v>3</v>
      </c>
      <c r="W53" s="20">
        <f>'Game Description'!$C$23</f>
        <v>10</v>
      </c>
      <c r="X53" s="74">
        <f t="shared" si="21"/>
        <v>0</v>
      </c>
      <c r="Y53" s="74">
        <f t="shared" si="22"/>
        <v>24</v>
      </c>
      <c r="Z53" s="74">
        <f t="shared" si="23"/>
        <v>0</v>
      </c>
      <c r="AA53" s="74">
        <f t="shared" si="24"/>
        <v>3</v>
      </c>
      <c r="AB53" s="74">
        <f t="shared" si="25"/>
        <v>3</v>
      </c>
      <c r="AC53" s="74">
        <f t="shared" si="26"/>
        <v>0</v>
      </c>
      <c r="AD53" s="74">
        <f t="shared" si="27"/>
        <v>0</v>
      </c>
      <c r="AE53" s="80">
        <f t="shared" si="28"/>
        <v>0</v>
      </c>
    </row>
    <row r="54" spans="7:31" ht="14.45" customHeight="1">
      <c r="L54" s="34"/>
      <c r="R54" s="34"/>
      <c r="S54" s="34"/>
      <c r="T54" s="34"/>
      <c r="U54" s="45" t="s">
        <v>40</v>
      </c>
      <c r="V54" s="73">
        <v>3</v>
      </c>
      <c r="W54" s="20">
        <f>'Game Description'!$C$23</f>
        <v>10</v>
      </c>
      <c r="X54" s="74">
        <f t="shared" si="21"/>
        <v>24</v>
      </c>
      <c r="Y54" s="74">
        <f t="shared" si="22"/>
        <v>0</v>
      </c>
      <c r="Z54" s="74">
        <f t="shared" si="23"/>
        <v>24</v>
      </c>
      <c r="AA54" s="74">
        <f t="shared" si="24"/>
        <v>21</v>
      </c>
      <c r="AB54" s="74">
        <f t="shared" si="25"/>
        <v>3</v>
      </c>
      <c r="AC54" s="74">
        <f t="shared" si="26"/>
        <v>0</v>
      </c>
      <c r="AD54" s="74">
        <f t="shared" si="27"/>
        <v>0</v>
      </c>
      <c r="AE54" s="80">
        <f t="shared" si="28"/>
        <v>0</v>
      </c>
    </row>
    <row r="55" spans="7:31" ht="14.45" customHeight="1">
      <c r="L55" s="34"/>
      <c r="R55" s="34"/>
      <c r="S55" s="34"/>
      <c r="T55" s="34"/>
      <c r="U55" s="45" t="s">
        <v>40</v>
      </c>
      <c r="V55" s="73">
        <v>3</v>
      </c>
      <c r="W55" s="20">
        <f>'Game Description'!$C$23</f>
        <v>10</v>
      </c>
      <c r="X55" s="74">
        <f t="shared" si="21"/>
        <v>24</v>
      </c>
      <c r="Y55" s="74">
        <f t="shared" si="22"/>
        <v>24</v>
      </c>
      <c r="Z55" s="74">
        <f t="shared" si="23"/>
        <v>0</v>
      </c>
      <c r="AA55" s="74">
        <f t="shared" si="24"/>
        <v>3</v>
      </c>
      <c r="AB55" s="74">
        <f t="shared" si="25"/>
        <v>21</v>
      </c>
      <c r="AC55" s="74">
        <f t="shared" si="26"/>
        <v>0</v>
      </c>
      <c r="AD55" s="74">
        <f t="shared" si="27"/>
        <v>0</v>
      </c>
      <c r="AE55" s="80">
        <f t="shared" si="28"/>
        <v>0</v>
      </c>
    </row>
    <row r="56" spans="7:31" ht="14.45" customHeight="1">
      <c r="L56" s="34"/>
      <c r="R56" s="34"/>
      <c r="S56" s="34"/>
      <c r="T56" s="34"/>
      <c r="U56" s="45" t="s">
        <v>40</v>
      </c>
      <c r="V56" s="73">
        <v>3</v>
      </c>
      <c r="W56" s="20">
        <f>'Game Description'!$C$23</f>
        <v>10</v>
      </c>
      <c r="X56" s="74">
        <f t="shared" si="21"/>
        <v>0</v>
      </c>
      <c r="Y56" s="74">
        <f t="shared" si="22"/>
        <v>24</v>
      </c>
      <c r="Z56" s="74">
        <f t="shared" si="23"/>
        <v>24</v>
      </c>
      <c r="AA56" s="74">
        <f t="shared" si="24"/>
        <v>21</v>
      </c>
      <c r="AB56" s="74">
        <f t="shared" si="25"/>
        <v>3</v>
      </c>
      <c r="AC56" s="74">
        <f t="shared" si="26"/>
        <v>0</v>
      </c>
      <c r="AD56" s="74">
        <f t="shared" si="27"/>
        <v>0</v>
      </c>
      <c r="AE56" s="80">
        <f t="shared" si="28"/>
        <v>0</v>
      </c>
    </row>
    <row r="57" spans="7:31" ht="14.45" customHeight="1">
      <c r="L57" s="34"/>
      <c r="R57" s="34"/>
      <c r="S57" s="34"/>
      <c r="T57" s="34"/>
      <c r="U57" s="45" t="s">
        <v>40</v>
      </c>
      <c r="V57" s="73">
        <v>3</v>
      </c>
      <c r="W57" s="20">
        <f>'Game Description'!$C$23</f>
        <v>10</v>
      </c>
      <c r="X57" s="74">
        <f t="shared" si="21"/>
        <v>24</v>
      </c>
      <c r="Y57" s="74">
        <f t="shared" si="22"/>
        <v>24</v>
      </c>
      <c r="Z57" s="74">
        <f t="shared" si="23"/>
        <v>0</v>
      </c>
      <c r="AA57" s="74">
        <f t="shared" si="24"/>
        <v>21</v>
      </c>
      <c r="AB57" s="74">
        <f t="shared" si="25"/>
        <v>3</v>
      </c>
      <c r="AC57" s="74">
        <f t="shared" si="26"/>
        <v>0</v>
      </c>
      <c r="AD57" s="74">
        <f t="shared" si="27"/>
        <v>0</v>
      </c>
      <c r="AE57" s="80">
        <f t="shared" si="28"/>
        <v>0</v>
      </c>
    </row>
    <row r="58" spans="7:31" ht="14.45" customHeight="1">
      <c r="L58" s="34"/>
      <c r="R58" s="34"/>
      <c r="S58" s="34"/>
      <c r="T58" s="34"/>
      <c r="U58" s="45" t="s">
        <v>40</v>
      </c>
      <c r="V58" s="73">
        <v>3</v>
      </c>
      <c r="W58" s="20">
        <f>'Game Description'!$C$23</f>
        <v>10</v>
      </c>
      <c r="X58" s="74">
        <f t="shared" si="21"/>
        <v>24</v>
      </c>
      <c r="Y58" s="74">
        <f t="shared" si="22"/>
        <v>0</v>
      </c>
      <c r="Z58" s="74">
        <f t="shared" si="23"/>
        <v>0</v>
      </c>
      <c r="AA58" s="74">
        <f t="shared" si="24"/>
        <v>3</v>
      </c>
      <c r="AB58" s="74">
        <f t="shared" si="25"/>
        <v>3</v>
      </c>
      <c r="AC58" s="74">
        <f t="shared" si="26"/>
        <v>0</v>
      </c>
      <c r="AD58" s="74">
        <f t="shared" si="27"/>
        <v>0</v>
      </c>
      <c r="AE58" s="80">
        <f t="shared" si="28"/>
        <v>0</v>
      </c>
    </row>
    <row r="59" spans="7:31" ht="14.45" customHeight="1">
      <c r="L59" s="34"/>
      <c r="R59" s="34"/>
      <c r="S59" s="34"/>
      <c r="T59" s="34"/>
      <c r="U59" s="45" t="s">
        <v>40</v>
      </c>
      <c r="V59" s="73">
        <v>3</v>
      </c>
      <c r="W59" s="20">
        <f>'Game Description'!$C$23</f>
        <v>10</v>
      </c>
      <c r="X59" s="74">
        <f t="shared" si="21"/>
        <v>0</v>
      </c>
      <c r="Y59" s="74">
        <f t="shared" si="22"/>
        <v>0</v>
      </c>
      <c r="Z59" s="74">
        <f t="shared" si="23"/>
        <v>24</v>
      </c>
      <c r="AA59" s="74">
        <f t="shared" si="24"/>
        <v>3</v>
      </c>
      <c r="AB59" s="74">
        <f t="shared" si="25"/>
        <v>3</v>
      </c>
      <c r="AC59" s="74">
        <f t="shared" si="26"/>
        <v>0</v>
      </c>
      <c r="AD59" s="74">
        <f t="shared" si="27"/>
        <v>0</v>
      </c>
      <c r="AE59" s="80">
        <f t="shared" si="28"/>
        <v>0</v>
      </c>
    </row>
    <row r="60" spans="7:31" ht="14.45" customHeight="1">
      <c r="L60" s="34"/>
      <c r="R60" s="34"/>
      <c r="S60" s="34"/>
      <c r="T60" s="34"/>
      <c r="U60" s="45" t="s">
        <v>40</v>
      </c>
      <c r="V60" s="73">
        <v>3</v>
      </c>
      <c r="W60" s="20">
        <f>'Game Description'!$C$23</f>
        <v>10</v>
      </c>
      <c r="X60" s="74">
        <f t="shared" si="21"/>
        <v>24</v>
      </c>
      <c r="Y60" s="74">
        <f t="shared" si="22"/>
        <v>24</v>
      </c>
      <c r="Z60" s="74">
        <f t="shared" si="23"/>
        <v>24</v>
      </c>
      <c r="AA60" s="74">
        <f t="shared" si="24"/>
        <v>21</v>
      </c>
      <c r="AB60" s="74">
        <f t="shared" si="25"/>
        <v>21</v>
      </c>
      <c r="AC60" s="74">
        <f>AD60*W60</f>
        <v>60963840</v>
      </c>
      <c r="AD60" s="74">
        <f t="shared" si="27"/>
        <v>6096384</v>
      </c>
      <c r="AE60" s="80">
        <f t="shared" si="28"/>
        <v>7.65625</v>
      </c>
    </row>
    <row r="61" spans="7:31" ht="14.45" customHeight="1">
      <c r="L61" s="34"/>
      <c r="R61" s="34"/>
      <c r="S61" s="34"/>
      <c r="T61" s="34"/>
      <c r="AC61">
        <f>SUM(AC45:AC60)</f>
        <v>210263040</v>
      </c>
      <c r="AD61">
        <f>PRODUCT(N33:R33)</f>
        <v>7962624</v>
      </c>
      <c r="AE61" s="79">
        <f>SUM(AE45:AE60)</f>
        <v>26.40625</v>
      </c>
    </row>
    <row r="62" spans="7:31" ht="14.45" customHeight="1">
      <c r="L62" s="34"/>
      <c r="R62" s="34"/>
      <c r="S62" s="34"/>
      <c r="T62" s="34"/>
    </row>
    <row r="63" spans="7:31" ht="14.45" customHeight="1">
      <c r="L63" s="34"/>
      <c r="S63" s="34"/>
      <c r="T63" s="34"/>
    </row>
    <row r="64" spans="7:31" ht="14.45" customHeight="1">
      <c r="L64" s="34"/>
      <c r="S64" s="34"/>
      <c r="T64" s="34"/>
    </row>
    <row r="65" spans="12:20" ht="14.45" customHeight="1">
      <c r="L65" s="34"/>
      <c r="S65" s="34"/>
      <c r="T65" s="34"/>
    </row>
    <row r="66" spans="12:20" ht="14.45" customHeight="1">
      <c r="L66" s="34"/>
      <c r="S66" s="34"/>
      <c r="T66" s="34"/>
    </row>
    <row r="67" spans="12:20" ht="14.45" customHeight="1">
      <c r="L67" s="34"/>
      <c r="S67" s="34"/>
      <c r="T67" s="34"/>
    </row>
    <row r="68" spans="12:20" ht="14.45" customHeight="1">
      <c r="L68" s="34"/>
      <c r="S68" s="34"/>
      <c r="T68" s="34"/>
    </row>
    <row r="69" spans="12:20" ht="14.45" customHeight="1">
      <c r="L69" s="34"/>
      <c r="S69" s="34"/>
      <c r="T69" s="34"/>
    </row>
    <row r="70" spans="12:20" ht="14.45" customHeight="1">
      <c r="L70" s="34"/>
      <c r="S70" s="34"/>
      <c r="T70" s="34"/>
    </row>
    <row r="71" spans="12:20" ht="14.45" customHeight="1">
      <c r="L71" s="34"/>
      <c r="S71" s="34"/>
      <c r="T71" s="34"/>
    </row>
    <row r="72" spans="12:20" ht="14.45" customHeight="1">
      <c r="L72" s="34"/>
      <c r="S72" s="34"/>
      <c r="T72" s="34"/>
    </row>
    <row r="73" spans="12:20" ht="14.45" customHeight="1">
      <c r="L73" s="34"/>
      <c r="S73" s="34"/>
      <c r="T73" s="34"/>
    </row>
    <row r="74" spans="12:20" ht="14.45" customHeight="1">
      <c r="L74" s="34"/>
    </row>
    <row r="75" spans="12:20" ht="14.45" customHeight="1"/>
    <row r="76" spans="12:20" ht="14.45" customHeight="1"/>
    <row r="77" spans="12:20"/>
    <row r="78" spans="12:20"/>
    <row r="79" spans="12:20"/>
    <row r="80" spans="12:20"/>
    <row r="81"/>
    <row r="82"/>
  </sheetData>
  <mergeCells count="9">
    <mergeCell ref="AI39:AJ39"/>
    <mergeCell ref="AI44:AJ44"/>
    <mergeCell ref="AI40:AJ40"/>
    <mergeCell ref="AI41:AJ41"/>
    <mergeCell ref="M35:Q35"/>
    <mergeCell ref="AI37:AJ37"/>
    <mergeCell ref="AN37:AO37"/>
    <mergeCell ref="AI38:AJ38"/>
    <mergeCell ref="AN38:AO38"/>
  </mergeCells>
  <conditionalFormatting sqref="G1:T1 S13:T75 AG36:AQ36 AP37:AQ38 M2:O8 G2:L75 G76:AE1048576 AK37:AN38 AG37:AI40 M9:R75 AF52:AR1048576 U61:AE75 AF30:AR34 AF35:AF42 AR36:AS43 AS1:XFD34 AS36:XFD1048576 AT35:XFD35 AG35:AN35 AC43:AG43 AG41:AH43 AL41:AQ43 AH44:AR51 AK39:AQ40">
    <cfRule type="containsText" dxfId="11" priority="11" operator="containsText" text="SC">
      <formula>NOT(ISERROR(SEARCH("SC",G1)))</formula>
    </cfRule>
    <cfRule type="containsText" dxfId="10" priority="12" operator="containsText" text="WD">
      <formula>NOT(ISERROR(SEARCH("WD",G1)))</formula>
    </cfRule>
  </conditionalFormatting>
  <conditionalFormatting sqref="AF7:AO29 AQ7:AR29">
    <cfRule type="containsText" dxfId="9" priority="9" operator="containsText" text="SC">
      <formula>NOT(ISERROR(SEARCH("SC",AF7)))</formula>
    </cfRule>
    <cfRule type="containsText" dxfId="8" priority="10" operator="containsText" text="WD">
      <formula>NOT(ISERROR(SEARCH("WD",AF7)))</formula>
    </cfRule>
  </conditionalFormatting>
  <conditionalFormatting sqref="U1:AR1 V2:AR4 V5:AF5 AI5:AR5 V6:AR6 AA7:AB7 X9:AB9 V9:V12 W9:W26 AA10:AB10 X10:Z11 X12:AB12 AA13:AB13 X13:Z14 U13:V26 X15:AB15 AA16:AB16 X16:Z17 X18:AB18 AA19:AB19 X19:Z20 X21:AB21 AA22:AB22 X22:Z23 X24:AB24 AA25:AB25 X25:Z26 U27:AB42 V7:Z8 AC7:AE42 AP7:AP29">
    <cfRule type="containsText" dxfId="7" priority="7" operator="containsText" text="SC">
      <formula>NOT(ISERROR(SEARCH("SC",U1)))</formula>
    </cfRule>
    <cfRule type="containsText" dxfId="6" priority="8" operator="containsText" text="WD">
      <formula>NOT(ISERROR(SEARCH("WD",U1)))</formula>
    </cfRule>
  </conditionalFormatting>
  <conditionalFormatting sqref="A1:E26">
    <cfRule type="containsText" dxfId="5" priority="5" operator="containsText" text="SC">
      <formula>NOT(ISERROR(SEARCH("SC",A1)))</formula>
    </cfRule>
    <cfRule type="containsText" dxfId="4" priority="6" operator="containsText" text="WD">
      <formula>NOT(ISERROR(SEARCH("WD",A1)))</formula>
    </cfRule>
  </conditionalFormatting>
  <conditionalFormatting sqref="U45:V45 X45:AE45 U46:AE60">
    <cfRule type="containsText" dxfId="3" priority="3" operator="containsText" text="SC">
      <formula>NOT(ISERROR(SEARCH("SC",U45)))</formula>
    </cfRule>
    <cfRule type="containsText" dxfId="2" priority="4" operator="containsText" text="WD">
      <formula>NOT(ISERROR(SEARCH("WD",U45)))</formula>
    </cfRule>
  </conditionalFormatting>
  <conditionalFormatting sqref="W45">
    <cfRule type="containsText" dxfId="1" priority="1" operator="containsText" text="SC">
      <formula>NOT(ISERROR(SEARCH("SC",W45)))</formula>
    </cfRule>
    <cfRule type="containsText" dxfId="0" priority="2" operator="containsText" text="WD">
      <formula>NOT(ISERROR(SEARCH("WD",W45)))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108</cp:revision>
  <dcterms:created xsi:type="dcterms:W3CDTF">2026-05-21T05:32:52Z</dcterms:created>
  <dcterms:modified xsi:type="dcterms:W3CDTF">2026-07-30T04:20:49Z</dcterms:modified>
  <cp:category/>
  <cp:contentStatus/>
</cp:coreProperties>
</file>